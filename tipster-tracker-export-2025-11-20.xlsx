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alizadas" sheetId="1" state="visible" r:id="rId1"/>
    <sheet xmlns:r="http://schemas.openxmlformats.org/officeDocument/2006/relationships" name="Lanzadas Tipster" sheetId="2" state="visible" r:id="rId2"/>
    <sheet xmlns:r="http://schemas.openxmlformats.org/officeDocument/2006/relationships" name="Mis_Picks_Dashboard" sheetId="3" state="visible" r:id="rId3"/>
    <sheet xmlns:r="http://schemas.openxmlformats.org/officeDocument/2006/relationships" name="Tipster_Picks_Dashboard" sheetId="4" state="visible" r:id="rId4"/>
    <sheet xmlns:r="http://schemas.openxmlformats.org/officeDocument/2006/relationships" name="Base datos" sheetId="5" state="visible" r:id="rId5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sz val="9"/>
    </font>
    <font>
      <name val="Arial"/>
      <color theme="1"/>
      <sz val="12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00B050"/>
        <bgColor rgb="0000B050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9" customWidth="1" min="3" max="3"/>
    <col width="9" customWidth="1" min="4" max="4"/>
    <col width="9" customWidth="1" min="5" max="5"/>
    <col width="13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  <col width="11" customWidth="1" min="12" max="12"/>
    <col width="41" customWidth="1" min="13" max="13"/>
    <col width="35" customWidth="1" min="16" max="16"/>
    <col width="13" customWidth="1" min="17" max="17"/>
    <col width="16" customWidth="1" min="18" max="18"/>
    <col width="21" customWidth="1" min="19" max="19"/>
    <col width="16" customWidth="1" min="20" max="20"/>
  </cols>
  <sheetData>
    <row r="1">
      <c r="B1" s="1" t="inlineStr">
        <is>
          <t>✅</t>
        </is>
      </c>
      <c r="C1" s="2" t="inlineStr">
        <is>
          <t>❌</t>
        </is>
      </c>
      <c r="D1" s="2" t="inlineStr">
        <is>
          <t>🔵</t>
        </is>
      </c>
      <c r="E1" s="3" t="inlineStr">
        <is>
          <t>UDS.</t>
        </is>
      </c>
      <c r="F1" s="3" t="inlineStr">
        <is>
          <t>Beneficio</t>
        </is>
      </c>
      <c r="G1" s="3" t="inlineStr">
        <is>
          <t>Yield Global</t>
        </is>
      </c>
      <c r="H1" s="3" t="inlineStr">
        <is>
          <t>Bank Actual</t>
        </is>
      </c>
      <c r="I1" s="3" t="inlineStr">
        <is>
          <t>Bank Inicial</t>
        </is>
      </c>
      <c r="J1" s="3" t="inlineStr">
        <is>
          <t>Apostado</t>
        </is>
      </c>
    </row>
    <row r="2">
      <c r="A2" s="3">
        <f>B2/(B2+C2)</f>
        <v/>
      </c>
      <c r="B2" s="3">
        <f>COUNTIF(E7:E2001,"w")</f>
        <v/>
      </c>
      <c r="C2" s="3">
        <f>COUNTIF(E7:E2001,"l")</f>
        <v/>
      </c>
      <c r="D2" s="3">
        <f>COUNTIF(E7:E2001,"V")</f>
        <v/>
      </c>
      <c r="E2" s="3">
        <f>SUM($F$7:$F$2001)</f>
        <v/>
      </c>
      <c r="F2" s="3">
        <f>SUM(H7:H2001)</f>
        <v/>
      </c>
      <c r="G2" s="4">
        <f>F2/J2</f>
        <v/>
      </c>
      <c r="H2" s="3">
        <f>I2+F2</f>
        <v/>
      </c>
      <c r="I2" s="3" t="n">
        <v>10000</v>
      </c>
      <c r="J2" s="3">
        <f>SUM($G$7:$G$2001)</f>
        <v/>
      </c>
    </row>
    <row r="3">
      <c r="A3" s="5" t="inlineStr">
        <is>
          <t>PLANTILLA EII</t>
        </is>
      </c>
      <c r="F3" s="5" t="inlineStr">
        <is>
          <t>Rellenar con los picks que lanza el tipster</t>
        </is>
      </c>
    </row>
    <row r="4"/>
    <row r="5"/>
    <row r="6" ht="25" customHeight="1">
      <c r="A6" s="6" t="inlineStr">
        <is>
          <t>LIVE-PRE</t>
        </is>
      </c>
      <c r="B6" s="7" t="inlineStr">
        <is>
          <t>TIPSTER</t>
        </is>
      </c>
      <c r="C6" s="7" t="inlineStr">
        <is>
          <t>STAKE</t>
        </is>
      </c>
      <c r="D6" s="7" t="inlineStr">
        <is>
          <t>CUOTA</t>
        </is>
      </c>
      <c r="E6" s="7" t="inlineStr">
        <is>
          <t>W/L/V</t>
        </is>
      </c>
      <c r="F6" s="8" t="inlineStr">
        <is>
          <t>Resultado unidades</t>
        </is>
      </c>
      <c r="G6" s="8" t="inlineStr">
        <is>
          <t>CANTIDAD</t>
        </is>
      </c>
      <c r="H6" s="8" t="inlineStr">
        <is>
          <t>Resultado euros</t>
        </is>
      </c>
      <c r="I6" s="8" t="inlineStr">
        <is>
          <t>FECHA PICK</t>
        </is>
      </c>
      <c r="J6" s="8" t="inlineStr">
        <is>
          <t>HORA PICK</t>
        </is>
      </c>
      <c r="K6" s="8" t="inlineStr">
        <is>
          <t>FECHA PARTIDO</t>
        </is>
      </c>
      <c r="L6" s="8" t="inlineStr">
        <is>
          <t>HORA PARTIDO</t>
        </is>
      </c>
      <c r="M6" s="7" t="inlineStr">
        <is>
          <t>APUESTA</t>
        </is>
      </c>
      <c r="P6" s="8" t="inlineStr">
        <is>
          <t>Comentarios</t>
        </is>
      </c>
      <c r="Q6" s="8" t="inlineStr">
        <is>
          <t>COMBINADA</t>
        </is>
      </c>
      <c r="R6" s="8" t="inlineStr">
        <is>
          <t>DEPORTE</t>
        </is>
      </c>
      <c r="S6" s="8" t="inlineStr">
        <is>
          <t>Plataforma envio pick</t>
        </is>
      </c>
      <c r="T6" s="8" t="inlineStr">
        <is>
          <t>BOOKIE</t>
        </is>
      </c>
    </row>
    <row r="7">
      <c r="A7" s="9" t="inlineStr">
        <is>
          <t>Pre</t>
        </is>
      </c>
      <c r="B7" s="10" t="inlineStr">
        <is>
          <t>Manolo</t>
        </is>
      </c>
      <c r="C7" s="10" t="n">
        <v>3</v>
      </c>
      <c r="D7" s="10" t="n">
        <v>3</v>
      </c>
      <c r="E7" s="11" t="str"/>
      <c r="F7" s="9">
        <f>IF(E7="L",-C7,IF(E7="W",C7*(D7-1),IF(E7="HW",(C7/2)*(D7-1),IF(E7="HL",-C7/2,0))))</f>
        <v/>
      </c>
      <c r="G7" s="9">
        <f>IFERROR(($I$2/VLOOKUP(B7,Mis_Picks_Dashboard!$A$3:$W$76,2,FALSE))*C7,"")</f>
        <v/>
      </c>
      <c r="H7" s="9">
        <f>IF(E7="w",G7*D7-G7,IF(E7="L",-G7,0))</f>
        <v/>
      </c>
      <c r="I7" s="9" t="inlineStr">
        <is>
          <t>2025-11-18</t>
        </is>
      </c>
      <c r="J7" s="9" t="inlineStr">
        <is>
          <t>10:09</t>
        </is>
      </c>
      <c r="K7" s="9" t="inlineStr">
        <is>
          <t>2025-11-17</t>
        </is>
      </c>
      <c r="L7" s="9" t="inlineStr">
        <is>
          <t>20:07</t>
        </is>
      </c>
      <c r="M7" s="9" t="inlineStr">
        <is>
          <t>dsdas</t>
        </is>
      </c>
      <c r="N7" s="12" t="str"/>
      <c r="O7" s="12" t="str"/>
      <c r="P7" s="12" t="str"/>
      <c r="Q7" s="9" t="inlineStr">
        <is>
          <t>NO</t>
        </is>
      </c>
      <c r="R7" s="9" t="inlineStr">
        <is>
          <t>Baloncesto</t>
        </is>
      </c>
      <c r="S7" s="9" t="inlineStr">
        <is>
          <t>App</t>
        </is>
      </c>
      <c r="T7" s="9" t="inlineStr">
        <is>
          <t>LeoVegas</t>
        </is>
      </c>
    </row>
    <row r="8">
      <c r="A8" s="9" t="inlineStr">
        <is>
          <t>Pre</t>
        </is>
      </c>
      <c r="B8" s="10" t="inlineStr">
        <is>
          <t>Manolo</t>
        </is>
      </c>
      <c r="C8" s="10" t="n">
        <v>3</v>
      </c>
      <c r="D8" s="10" t="n">
        <v>1.5</v>
      </c>
      <c r="E8" s="10" t="inlineStr">
        <is>
          <t>W</t>
        </is>
      </c>
      <c r="F8" s="9">
        <f>IF(E8="L",-C8,IF(E8="W",C8*(D8-1),IF(E8="HW",(C8/2)*(D8-1),IF(E8="HL",-C8/2,0))))</f>
        <v/>
      </c>
      <c r="G8" s="9">
        <f>IFERROR(($I$2/VLOOKUP(B8,Mis_Picks_Dashboard!$A$3:$W$76,2,FALSE))*C8,"")</f>
        <v/>
      </c>
      <c r="H8" s="9">
        <f>IF(E8="w",G8*D8-G8,IF(E8="L",-G8,0))</f>
        <v/>
      </c>
      <c r="I8" s="9" t="inlineStr">
        <is>
          <t>2025-11-13</t>
        </is>
      </c>
      <c r="J8" s="9" t="inlineStr">
        <is>
          <t>16:22</t>
        </is>
      </c>
      <c r="K8" s="9" t="inlineStr">
        <is>
          <t>2025-11-13</t>
        </is>
      </c>
      <c r="L8" s="9" t="inlineStr">
        <is>
          <t>16:18</t>
        </is>
      </c>
      <c r="M8" s="9" t="inlineStr">
        <is>
          <t>fsdfdffsdf</t>
        </is>
      </c>
      <c r="N8" s="12" t="str"/>
      <c r="O8" s="12" t="str"/>
      <c r="P8" s="12" t="str"/>
      <c r="Q8" s="9" t="inlineStr">
        <is>
          <t>NO</t>
        </is>
      </c>
      <c r="R8" s="9" t="inlineStr">
        <is>
          <t>Fútbol</t>
        </is>
      </c>
      <c r="S8" s="9" t="inlineStr">
        <is>
          <t>App</t>
        </is>
      </c>
      <c r="T8" s="9" t="inlineStr">
        <is>
          <t>Winamax</t>
        </is>
      </c>
    </row>
    <row r="9">
      <c r="A9" s="9" t="inlineStr">
        <is>
          <t>Live</t>
        </is>
      </c>
      <c r="B9" s="10" t="inlineStr">
        <is>
          <t>Manolo</t>
        </is>
      </c>
      <c r="C9" s="10" t="n">
        <v>1</v>
      </c>
      <c r="D9" s="10" t="n">
        <v>1.5</v>
      </c>
      <c r="E9" s="10" t="inlineStr">
        <is>
          <t>W</t>
        </is>
      </c>
      <c r="F9" s="9">
        <f>IF(E9="L",-C9,IF(E9="W",C9*(D9-1),IF(E9="HW",(C9/2)*(D9-1),IF(E9="HL",-C9/2,0))))</f>
        <v/>
      </c>
      <c r="G9" s="9">
        <f>IFERROR(($I$2/VLOOKUP(B9,Mis_Picks_Dashboard!$A$3:$W$76,2,FALSE))*C9,"")</f>
        <v/>
      </c>
      <c r="H9" s="9">
        <f>IF(E9="w",G9*D9-G9,IF(E9="L",-G9,0))</f>
        <v/>
      </c>
      <c r="I9" s="9" t="inlineStr">
        <is>
          <t>2025-11-07</t>
        </is>
      </c>
      <c r="J9" s="9" t="inlineStr">
        <is>
          <t>14:31</t>
        </is>
      </c>
      <c r="K9" s="9" t="inlineStr">
        <is>
          <t>2025-11-17</t>
        </is>
      </c>
      <c r="L9" s="9" t="inlineStr">
        <is>
          <t>19:58</t>
        </is>
      </c>
      <c r="M9" s="9" t="inlineStr">
        <is>
          <t>Marsa</t>
        </is>
      </c>
      <c r="N9" s="12" t="str"/>
      <c r="O9" s="12" t="str"/>
      <c r="P9" s="12" t="str"/>
      <c r="Q9" s="9" t="inlineStr">
        <is>
          <t>NO</t>
        </is>
      </c>
      <c r="R9" s="9" t="inlineStr">
        <is>
          <t>Fútbol</t>
        </is>
      </c>
      <c r="S9" s="9" t="inlineStr">
        <is>
          <t>App</t>
        </is>
      </c>
      <c r="T9" s="9" t="inlineStr">
        <is>
          <t>Bet365</t>
        </is>
      </c>
    </row>
    <row r="10">
      <c r="A10" s="12" t="n"/>
      <c r="B10" s="11" t="n"/>
      <c r="C10" s="11" t="n"/>
      <c r="D10" s="11" t="n"/>
      <c r="E10" s="11" t="n"/>
      <c r="F10" s="9">
        <f>IF(E10="L",-C10,IF(E10="W",C10*(D10-1),IF(E10="HW",(C10/2)*(D10-1),IF(E10="HL",-C10/2,0))))</f>
        <v/>
      </c>
      <c r="G10" s="9">
        <f>IFERROR(($I$2/VLOOKUP(B10,Mis_Picks_Dashboard!$A$3:$W$76,2,FALSE))*C10,"")</f>
        <v/>
      </c>
      <c r="H10" s="9">
        <f>IF(E10="w",G10*D10-G10,IF(E10="L",-G10,0))</f>
        <v/>
      </c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>
      <c r="A11" s="12" t="n"/>
      <c r="B11" s="11" t="n"/>
      <c r="C11" s="11" t="n"/>
      <c r="D11" s="11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>
      <c r="A12" s="12" t="n"/>
      <c r="B12" s="11" t="n"/>
      <c r="C12" s="11" t="n"/>
      <c r="D12" s="11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>
      <c r="A13" s="12" t="n"/>
      <c r="B13" s="11" t="n"/>
      <c r="C13" s="11" t="n"/>
      <c r="D13" s="11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>
      <c r="A14" s="12" t="n"/>
      <c r="B14" s="11" t="n"/>
      <c r="C14" s="11" t="n"/>
      <c r="D14" s="11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>
      <c r="A15" s="12" t="n"/>
      <c r="B15" s="11" t="n"/>
      <c r="C15" s="11" t="n"/>
      <c r="D15" s="11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>
      <c r="A16" s="12" t="n"/>
      <c r="B16" s="11" t="n"/>
      <c r="C16" s="11" t="n"/>
      <c r="D16" s="11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>
      <c r="A17" s="12" t="n"/>
      <c r="B17" s="11" t="n"/>
      <c r="C17" s="11" t="n"/>
      <c r="D17" s="11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>
      <c r="A18" s="12" t="n"/>
      <c r="B18" s="11" t="n"/>
      <c r="C18" s="11" t="n"/>
      <c r="D18" s="11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>
      <c r="A19" s="12" t="n"/>
      <c r="B19" s="11" t="n"/>
      <c r="C19" s="11" t="n"/>
      <c r="D19" s="11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>
      <c r="A20" s="12" t="n"/>
      <c r="B20" s="11" t="n"/>
      <c r="C20" s="11" t="n"/>
      <c r="D20" s="11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>
      <c r="A21" s="12" t="n"/>
      <c r="B21" s="11" t="n"/>
      <c r="C21" s="11" t="n"/>
      <c r="D21" s="11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>
      <c r="A22" s="12" t="n"/>
      <c r="B22" s="11" t="n"/>
      <c r="C22" s="11" t="n"/>
      <c r="D22" s="11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>
      <c r="A23" s="12" t="n"/>
      <c r="B23" s="11" t="n"/>
      <c r="C23" s="11" t="n"/>
      <c r="D23" s="11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>
      <c r="A24" s="12" t="n"/>
      <c r="B24" s="11" t="n"/>
      <c r="C24" s="11" t="n"/>
      <c r="D24" s="11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>
      <c r="A25" s="12" t="n"/>
      <c r="B25" s="11" t="n"/>
      <c r="C25" s="11" t="n"/>
      <c r="D25" s="11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n"/>
      <c r="B26" s="11" t="n"/>
      <c r="C26" s="11" t="n"/>
      <c r="D26" s="11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n"/>
      <c r="B27" s="11" t="n"/>
      <c r="C27" s="11" t="n"/>
      <c r="D27" s="11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n"/>
      <c r="B28" s="11" t="n"/>
      <c r="C28" s="11" t="n"/>
      <c r="D28" s="11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n"/>
      <c r="B29" s="11" t="n"/>
      <c r="C29" s="11" t="n"/>
      <c r="D29" s="11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n"/>
      <c r="B30" s="11" t="n"/>
      <c r="C30" s="11" t="n"/>
      <c r="D30" s="11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n"/>
      <c r="B31" s="11" t="n"/>
      <c r="C31" s="11" t="n"/>
      <c r="D31" s="11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n"/>
      <c r="B32" s="11" t="n"/>
      <c r="C32" s="11" t="n"/>
      <c r="D32" s="11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n"/>
      <c r="B33" s="11" t="n"/>
      <c r="C33" s="11" t="n"/>
      <c r="D33" s="11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n"/>
      <c r="B34" s="11" t="n"/>
      <c r="C34" s="11" t="n"/>
      <c r="D34" s="11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n"/>
      <c r="B35" s="11" t="n"/>
      <c r="C35" s="11" t="n"/>
      <c r="D35" s="11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n"/>
      <c r="B36" s="11" t="n"/>
      <c r="C36" s="11" t="n"/>
      <c r="D36" s="11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n"/>
      <c r="B37" s="11" t="n"/>
      <c r="C37" s="11" t="n"/>
      <c r="D37" s="11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n"/>
      <c r="B38" s="11" t="n"/>
      <c r="C38" s="11" t="n"/>
      <c r="D38" s="11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n"/>
      <c r="B39" s="11" t="n"/>
      <c r="C39" s="11" t="n"/>
      <c r="D39" s="11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12" t="n"/>
      <c r="B40" s="11" t="n"/>
      <c r="C40" s="11" t="n"/>
      <c r="D40" s="11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>
      <c r="A41" s="12" t="n"/>
      <c r="B41" s="11" t="n"/>
      <c r="C41" s="11" t="n"/>
      <c r="D41" s="11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12" t="n"/>
      <c r="B42" s="11" t="n"/>
      <c r="C42" s="11" t="n"/>
      <c r="D42" s="11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>
      <c r="A43" s="12" t="n"/>
      <c r="B43" s="11" t="n"/>
      <c r="C43" s="11" t="n"/>
      <c r="D43" s="11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12" t="n"/>
      <c r="B44" s="11" t="n"/>
      <c r="C44" s="11" t="n"/>
      <c r="D44" s="11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>
      <c r="A45" s="12" t="n"/>
      <c r="B45" s="11" t="n"/>
      <c r="C45" s="11" t="n"/>
      <c r="D45" s="11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>
      <c r="A46" s="12" t="n"/>
      <c r="B46" s="11" t="n"/>
      <c r="C46" s="11" t="n"/>
      <c r="D46" s="11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>
      <c r="A47" s="12" t="n"/>
      <c r="B47" s="11" t="n"/>
      <c r="C47" s="11" t="n"/>
      <c r="D47" s="11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>
      <c r="A48" s="12" t="n"/>
      <c r="B48" s="11" t="n"/>
      <c r="C48" s="11" t="n"/>
      <c r="D48" s="11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>
      <c r="A49" s="12" t="n"/>
      <c r="B49" s="11" t="n"/>
      <c r="C49" s="11" t="n"/>
      <c r="D49" s="11" t="n"/>
      <c r="E49" s="11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>
      <c r="A50" s="12" t="n"/>
      <c r="B50" s="11" t="n"/>
      <c r="C50" s="11" t="n"/>
      <c r="D50" s="11" t="n"/>
      <c r="E50" s="11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</row>
  </sheetData>
  <mergeCells count="3">
    <mergeCell ref="F3:T5"/>
    <mergeCell ref="M6:O6"/>
    <mergeCell ref="A3:E5"/>
  </mergeCells>
  <conditionalFormatting sqref="E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F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G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H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7:E50">
    <cfRule type="cellIs" priority="9" operator="equal" dxfId="0">
      <formula>"L"</formula>
    </cfRule>
    <cfRule type="cellIs" priority="10" operator="equal" dxfId="1">
      <formula>"W"</formula>
    </cfRule>
  </conditionalFormatting>
  <dataValidations count="7">
    <dataValidation sqref="A7:A2001" showDropDown="0" showInputMessage="0" showErrorMessage="0" allowBlank="1" errorTitle="Valor no válido" error="Selecciona: PRE, LIVE o Combinado" type="list">
      <formula1>'Base datos'!$G$2:$G$4</formula1>
    </dataValidation>
    <dataValidation sqref="B7:B2001" showDropDown="0" showInputMessage="0" showErrorMessage="0" allowBlank="1" errorTitle="Tipster no válido" error="Selecciona un tipster de la lista" type="list">
      <formula1>Mis_Picks_Dashboard!$A$3:$A$100</formula1>
    </dataValidation>
    <dataValidation sqref="E7:E2001" showDropDown="0" showInputMessage="0" showErrorMessage="0" allowBlank="1" errorTitle="Resultado no válido" error="Selecciona: W (Win), L (Loss), V (Void), HW (Half Win), HL (Half Loss)" type="list">
      <formula1>"W,L,V,HW,HL"</formula1>
    </dataValidation>
    <dataValidation sqref="Q7:Q2001" showDropDown="0" showInputMessage="0" showErrorMessage="0" allowBlank="1" errorTitle="Valor no válido" error="Selecciona: Si o No" type="list">
      <formula1>'Base datos'!$I$2:$I$4</formula1>
    </dataValidation>
    <dataValidation sqref="R7:R2001" showDropDown="0" showInputMessage="0" showErrorMessage="0" allowBlank="1" errorTitle="Deporte no válido" error="Selecciona un deporte de la lista" type="list">
      <formula1>'Base datos'!$E$2:$E$20</formula1>
    </dataValidation>
    <dataValidation sqref="S7:S2001" showDropDown="0" showInputMessage="0" showErrorMessage="0" allowBlank="1" errorTitle="Plataforma no válida" error="Selecciona una plataforma de la lista" type="list">
      <formula1>'Base datos'!$C$2:$C$20</formula1>
    </dataValidation>
    <dataValidation sqref="T7:T2001" showDropDown="0" showInputMessage="0" showErrorMessage="0" allowBlank="1" errorTitle="Bookmaker no válido" error="Selecciona un bookmaker de la lista" type="list">
      <formula1>'Base datos'!$A$2:$A$30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9" customWidth="1" min="3" max="3"/>
    <col width="9" customWidth="1" min="4" max="4"/>
    <col width="9" customWidth="1" min="5" max="5"/>
    <col width="13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  <col width="11" customWidth="1" min="12" max="12"/>
    <col width="41" customWidth="1" min="13" max="13"/>
    <col width="35" customWidth="1" min="16" max="16"/>
    <col width="13" customWidth="1" min="17" max="17"/>
    <col width="16" customWidth="1" min="18" max="18"/>
    <col width="21" customWidth="1" min="19" max="19"/>
  </cols>
  <sheetData>
    <row r="1">
      <c r="B1" s="1" t="inlineStr">
        <is>
          <t>✅</t>
        </is>
      </c>
      <c r="C1" s="2" t="inlineStr">
        <is>
          <t>❌</t>
        </is>
      </c>
      <c r="D1" s="2" t="inlineStr">
        <is>
          <t>🔵</t>
        </is>
      </c>
      <c r="E1" s="3" t="inlineStr">
        <is>
          <t>UDS.</t>
        </is>
      </c>
      <c r="F1" s="3" t="inlineStr">
        <is>
          <t>Beneficio</t>
        </is>
      </c>
      <c r="G1" s="3" t="inlineStr">
        <is>
          <t>Yield Global</t>
        </is>
      </c>
      <c r="H1" s="3" t="inlineStr">
        <is>
          <t>Bank Actual</t>
        </is>
      </c>
      <c r="I1" s="3" t="inlineStr">
        <is>
          <t>Bank Inicial</t>
        </is>
      </c>
      <c r="J1" s="3" t="inlineStr">
        <is>
          <t>Apostado</t>
        </is>
      </c>
    </row>
    <row r="2">
      <c r="A2" s="3">
        <f>B2/(B2+C2)</f>
        <v/>
      </c>
      <c r="B2" s="3">
        <f>COUNTIF(E7:E1853,"w")</f>
        <v/>
      </c>
      <c r="C2" s="3">
        <f>COUNTIF(E7:E1853,"l")</f>
        <v/>
      </c>
      <c r="D2" s="3">
        <f>COUNTIF(E7:E1853,"V")</f>
        <v/>
      </c>
      <c r="E2" s="3">
        <f>SUM($F$7:$F$1853)</f>
        <v/>
      </c>
      <c r="F2" s="3">
        <f>SUM(H7:H1853)</f>
        <v/>
      </c>
      <c r="G2" s="4">
        <f>F2/J2</f>
        <v/>
      </c>
      <c r="H2" s="3">
        <f>I2+F2</f>
        <v/>
      </c>
      <c r="I2" s="3" t="n">
        <v>10000</v>
      </c>
      <c r="J2" s="3">
        <f>SUM($G$7:$G$1853)</f>
        <v/>
      </c>
    </row>
    <row r="3">
      <c r="A3" s="5" t="inlineStr">
        <is>
          <t>PLANTILLA EII</t>
        </is>
      </c>
      <c r="F3" s="5" t="inlineStr">
        <is>
          <t>Rellenar con los picks que lanza el tipster</t>
        </is>
      </c>
    </row>
    <row r="4"/>
    <row r="5"/>
    <row r="6" ht="25" customHeight="1">
      <c r="A6" s="6" t="inlineStr">
        <is>
          <t>LIVE-PRE</t>
        </is>
      </c>
      <c r="B6" s="7" t="inlineStr">
        <is>
          <t>TIPSTER</t>
        </is>
      </c>
      <c r="C6" s="7" t="inlineStr">
        <is>
          <t>STAKE</t>
        </is>
      </c>
      <c r="D6" s="7" t="inlineStr">
        <is>
          <t>CUOTA</t>
        </is>
      </c>
      <c r="E6" s="7" t="inlineStr">
        <is>
          <t>W/L/V</t>
        </is>
      </c>
      <c r="F6" s="8" t="inlineStr">
        <is>
          <t>Resultado unidades</t>
        </is>
      </c>
      <c r="G6" s="8" t="inlineStr">
        <is>
          <t>CANTIDAD</t>
        </is>
      </c>
      <c r="H6" s="8" t="inlineStr">
        <is>
          <t>Resultado euros</t>
        </is>
      </c>
      <c r="I6" s="8" t="inlineStr">
        <is>
          <t>FECHA PICK</t>
        </is>
      </c>
      <c r="J6" s="8" t="inlineStr">
        <is>
          <t>HORA PICK</t>
        </is>
      </c>
      <c r="K6" s="8" t="inlineStr">
        <is>
          <t>FECHA PARTIDO</t>
        </is>
      </c>
      <c r="L6" s="8" t="inlineStr">
        <is>
          <t>HORA PARTIDO</t>
        </is>
      </c>
      <c r="M6" s="7" t="inlineStr">
        <is>
          <t>APUESTA</t>
        </is>
      </c>
      <c r="P6" s="8" t="inlineStr">
        <is>
          <t>COMBINADA</t>
        </is>
      </c>
      <c r="Q6" s="8" t="inlineStr">
        <is>
          <t>DEPORTE</t>
        </is>
      </c>
      <c r="R6" s="8" t="inlineStr">
        <is>
          <t>Plataforma envio pick</t>
        </is>
      </c>
      <c r="S6" s="8" t="inlineStr">
        <is>
          <t>BOOKIE recomendado</t>
        </is>
      </c>
    </row>
    <row r="7">
      <c r="A7" s="9" t="inlineStr">
        <is>
          <t>Pre</t>
        </is>
      </c>
      <c r="B7" s="10" t="inlineStr">
        <is>
          <t>Manolo</t>
        </is>
      </c>
      <c r="C7" s="10" t="n">
        <v>2</v>
      </c>
      <c r="D7" s="10" t="n">
        <v>2</v>
      </c>
      <c r="E7" s="10" t="inlineStr">
        <is>
          <t>W</t>
        </is>
      </c>
      <c r="F7" s="9">
        <f>IF(E7="L",-C7,IF(E7="W",C7*(D7-1),IF(E7="HW",(C7/2)*(D7-1),IF(E7="HL",-C7/2,0))))</f>
        <v/>
      </c>
      <c r="G7" s="9">
        <f>IFERROR(($I$2/VLOOKUP(B7,Tipster_Picks_Dashboard!$A$3:$W$76,2,FALSE))*C7,"")</f>
        <v/>
      </c>
      <c r="H7" s="9">
        <f>IF(E7="w",G7*D7-G7,IF(E7="L",-G7,0))</f>
        <v/>
      </c>
      <c r="I7" s="9" t="inlineStr">
        <is>
          <t>2025-11-18</t>
        </is>
      </c>
      <c r="J7" s="9" t="inlineStr">
        <is>
          <t>19:14</t>
        </is>
      </c>
      <c r="K7" s="9" t="inlineStr">
        <is>
          <t>2025-11-18</t>
        </is>
      </c>
      <c r="L7" s="9" t="inlineStr">
        <is>
          <t>19:14</t>
        </is>
      </c>
      <c r="M7" s="9" t="inlineStr">
        <is>
          <t>eweew</t>
        </is>
      </c>
      <c r="N7" s="12" t="str"/>
      <c r="O7" s="12" t="str"/>
      <c r="P7" s="9" t="inlineStr">
        <is>
          <t>NO</t>
        </is>
      </c>
      <c r="Q7" s="9" t="inlineStr">
        <is>
          <t>Hockey</t>
        </is>
      </c>
      <c r="R7" s="9" t="inlineStr">
        <is>
          <t>App</t>
        </is>
      </c>
      <c r="S7" s="9" t="inlineStr">
        <is>
          <t>Betway</t>
        </is>
      </c>
      <c r="T7" s="12" t="n"/>
    </row>
    <row r="8">
      <c r="A8" s="9" t="inlineStr">
        <is>
          <t>Combinado</t>
        </is>
      </c>
      <c r="B8" s="10" t="inlineStr">
        <is>
          <t>Manolo</t>
        </is>
      </c>
      <c r="C8" s="10" t="n">
        <v>10</v>
      </c>
      <c r="D8" s="10" t="n">
        <v>2</v>
      </c>
      <c r="E8" s="10" t="inlineStr">
        <is>
          <t>L</t>
        </is>
      </c>
      <c r="F8" s="9">
        <f>IF(E8="L",-C8,IF(E8="W",C8*(D8-1),IF(E8="HW",(C8/2)*(D8-1),IF(E8="HL",-C8/2,0))))</f>
        <v/>
      </c>
      <c r="G8" s="9">
        <f>IFERROR(($I$2/VLOOKUP(B8,Tipster_Picks_Dashboard!$A$3:$W$76,2,FALSE))*C8,"")</f>
        <v/>
      </c>
      <c r="H8" s="9">
        <f>IF(E8="w",G8*D8-G8,IF(E8="L",-G8,0))</f>
        <v/>
      </c>
      <c r="I8" s="9" t="inlineStr">
        <is>
          <t>2025-11-17</t>
        </is>
      </c>
      <c r="J8" s="9" t="inlineStr">
        <is>
          <t>20:18</t>
        </is>
      </c>
      <c r="K8" s="9" t="inlineStr">
        <is>
          <t>2025-11-17</t>
        </is>
      </c>
      <c r="L8" s="9" t="inlineStr">
        <is>
          <t>20:18</t>
        </is>
      </c>
      <c r="M8" s="9" t="inlineStr">
        <is>
          <t>fdfsdfdf</t>
        </is>
      </c>
      <c r="N8" s="12" t="str"/>
      <c r="O8" s="12" t="str"/>
      <c r="P8" s="9" t="inlineStr">
        <is>
          <t>SÍ</t>
        </is>
      </c>
      <c r="Q8" s="9" t="inlineStr">
        <is>
          <t>Baloncesto</t>
        </is>
      </c>
      <c r="R8" s="9" t="inlineStr">
        <is>
          <t>App</t>
        </is>
      </c>
      <c r="S8" s="9" t="inlineStr">
        <is>
          <t>Pastón</t>
        </is>
      </c>
      <c r="T8" s="12" t="n"/>
    </row>
    <row r="9">
      <c r="A9" s="9" t="inlineStr">
        <is>
          <t>Pre</t>
        </is>
      </c>
      <c r="B9" s="10" t="inlineStr">
        <is>
          <t>Manolo</t>
        </is>
      </c>
      <c r="C9" s="10" t="n">
        <v>2</v>
      </c>
      <c r="D9" s="10" t="n">
        <v>3</v>
      </c>
      <c r="E9" s="11" t="str"/>
      <c r="F9" s="9">
        <f>IF(E9="L",-C9,IF(E9="W",C9*(D9-1),IF(E9="HW",(C9/2)*(D9-1),IF(E9="HL",-C9/2,0))))</f>
        <v/>
      </c>
      <c r="G9" s="9">
        <f>IFERROR(($I$2/VLOOKUP(B9,Tipster_Picks_Dashboard!$A$3:$W$76,2,FALSE))*C9,"")</f>
        <v/>
      </c>
      <c r="H9" s="9">
        <f>IF(E9="w",G9*D9-G9,IF(E9="L",-G9,0))</f>
        <v/>
      </c>
      <c r="I9" s="9" t="inlineStr">
        <is>
          <t>2025-11-17</t>
        </is>
      </c>
      <c r="J9" s="9" t="inlineStr">
        <is>
          <t>20:07</t>
        </is>
      </c>
      <c r="K9" s="9" t="inlineStr">
        <is>
          <t>2025-11-17</t>
        </is>
      </c>
      <c r="L9" s="9" t="inlineStr">
        <is>
          <t>20:07</t>
        </is>
      </c>
      <c r="M9" s="9" t="inlineStr">
        <is>
          <t>dsdas</t>
        </is>
      </c>
      <c r="N9" s="12" t="str"/>
      <c r="O9" s="12" t="str"/>
      <c r="P9" s="9" t="inlineStr">
        <is>
          <t>NO</t>
        </is>
      </c>
      <c r="Q9" s="9" t="inlineStr">
        <is>
          <t>Baloncesto</t>
        </is>
      </c>
      <c r="R9" s="9" t="inlineStr">
        <is>
          <t>App</t>
        </is>
      </c>
      <c r="S9" s="9" t="inlineStr">
        <is>
          <t>LeoVegas</t>
        </is>
      </c>
      <c r="T9" s="12" t="n"/>
    </row>
    <row r="10">
      <c r="A10" s="9" t="inlineStr">
        <is>
          <t>Live</t>
        </is>
      </c>
      <c r="B10" s="10" t="inlineStr">
        <is>
          <t>Manolo</t>
        </is>
      </c>
      <c r="C10" s="10" t="n">
        <v>2</v>
      </c>
      <c r="D10" s="10" t="n">
        <v>2</v>
      </c>
      <c r="E10" s="10" t="inlineStr">
        <is>
          <t>W</t>
        </is>
      </c>
      <c r="F10" s="9">
        <f>IF(E10="L",-C10,IF(E10="W",C10*(D10-1),IF(E10="HW",(C10/2)*(D10-1),IF(E10="HL",-C10/2,0))))</f>
        <v/>
      </c>
      <c r="G10" s="9">
        <f>IFERROR(($I$2/VLOOKUP(B10,Tipster_Picks_Dashboard!$A$3:$W$76,2,FALSE))*C10,"")</f>
        <v/>
      </c>
      <c r="H10" s="9">
        <f>IF(E10="w",G10*D10-G10,IF(E10="L",-G10,0))</f>
        <v/>
      </c>
      <c r="I10" s="9" t="inlineStr">
        <is>
          <t>2025-11-17</t>
        </is>
      </c>
      <c r="J10" s="9" t="inlineStr">
        <is>
          <t>19:58</t>
        </is>
      </c>
      <c r="K10" s="9" t="inlineStr">
        <is>
          <t>2025-11-17</t>
        </is>
      </c>
      <c r="L10" s="9" t="inlineStr">
        <is>
          <t>19:58</t>
        </is>
      </c>
      <c r="M10" s="9" t="inlineStr">
        <is>
          <t>dsds</t>
        </is>
      </c>
      <c r="N10" s="12" t="str"/>
      <c r="O10" s="12" t="str"/>
      <c r="P10" s="9" t="inlineStr">
        <is>
          <t>NO</t>
        </is>
      </c>
      <c r="Q10" s="9" t="inlineStr">
        <is>
          <t>Fútbol</t>
        </is>
      </c>
      <c r="R10" s="9" t="inlineStr">
        <is>
          <t>App</t>
        </is>
      </c>
      <c r="S10" s="9" t="inlineStr">
        <is>
          <t>Olybet</t>
        </is>
      </c>
      <c r="T10" s="12" t="n"/>
    </row>
    <row r="11">
      <c r="A11" s="9" t="inlineStr">
        <is>
          <t>Combinado</t>
        </is>
      </c>
      <c r="B11" s="10" t="inlineStr">
        <is>
          <t>Manolo</t>
        </is>
      </c>
      <c r="C11" s="10" t="n">
        <v>2</v>
      </c>
      <c r="D11" s="10" t="n">
        <v>2</v>
      </c>
      <c r="E11" s="10" t="inlineStr">
        <is>
          <t>L</t>
        </is>
      </c>
      <c r="F11" s="9">
        <f>IF(E11="L",-C11,IF(E11="W",C11*(D11-1),IF(E11="HW",(C11/2)*(D11-1),IF(E11="HL",-C11/2,0))))</f>
        <v/>
      </c>
      <c r="G11" s="9">
        <f>IFERROR(($I$2/VLOOKUP(B11,Tipster_Picks_Dashboard!$A$3:$W$76,2,FALSE))*C11,"")</f>
        <v/>
      </c>
      <c r="H11" s="9">
        <f>IF(E11="w",G11*D11-G11,IF(E11="L",-G11,0))</f>
        <v/>
      </c>
      <c r="I11" s="9" t="inlineStr">
        <is>
          <t>2025-11-17</t>
        </is>
      </c>
      <c r="J11" s="9" t="inlineStr">
        <is>
          <t>19:34</t>
        </is>
      </c>
      <c r="K11" s="9" t="inlineStr">
        <is>
          <t>2025-11-17</t>
        </is>
      </c>
      <c r="L11" s="9" t="inlineStr">
        <is>
          <t>19:34</t>
        </is>
      </c>
      <c r="M11" s="9" t="inlineStr">
        <is>
          <t>ASASa</t>
        </is>
      </c>
      <c r="N11" s="12" t="str"/>
      <c r="O11" s="12" t="str"/>
      <c r="P11" s="9" t="inlineStr">
        <is>
          <t>SÍ</t>
        </is>
      </c>
      <c r="Q11" s="9" t="inlineStr">
        <is>
          <t>Baloncesto</t>
        </is>
      </c>
      <c r="R11" s="9" t="inlineStr">
        <is>
          <t>App</t>
        </is>
      </c>
      <c r="S11" s="9" t="inlineStr">
        <is>
          <t>1xBet</t>
        </is>
      </c>
      <c r="T11" s="12" t="n"/>
    </row>
    <row r="12">
      <c r="A12" s="9" t="inlineStr">
        <is>
          <t>Pre</t>
        </is>
      </c>
      <c r="B12" s="10" t="inlineStr">
        <is>
          <t>Manolo</t>
        </is>
      </c>
      <c r="C12" s="10" t="n">
        <v>5</v>
      </c>
      <c r="D12" s="10" t="n">
        <v>5</v>
      </c>
      <c r="E12" s="10" t="inlineStr">
        <is>
          <t>L</t>
        </is>
      </c>
      <c r="F12" s="9">
        <f>IF(E12="L",-C12,IF(E12="W",C12*(D12-1),IF(E12="HW",(C12/2)*(D12-1),IF(E12="HL",-C12/2,0))))</f>
        <v/>
      </c>
      <c r="G12" s="9">
        <f>IFERROR(($I$2/VLOOKUP(B12,Tipster_Picks_Dashboard!$A$3:$W$76,2,FALSE))*C12,"")</f>
        <v/>
      </c>
      <c r="H12" s="9">
        <f>IF(E12="w",G12*D12-G12,IF(E12="L",-G12,0))</f>
        <v/>
      </c>
      <c r="I12" s="9" t="inlineStr">
        <is>
          <t>2025-11-17</t>
        </is>
      </c>
      <c r="J12" s="9" t="inlineStr">
        <is>
          <t>19:02</t>
        </is>
      </c>
      <c r="K12" s="9" t="inlineStr">
        <is>
          <t>2025-11-17</t>
        </is>
      </c>
      <c r="L12" s="9" t="inlineStr">
        <is>
          <t>19:02</t>
        </is>
      </c>
      <c r="M12" s="9" t="inlineStr">
        <is>
          <t>dsads</t>
        </is>
      </c>
      <c r="N12" s="12" t="str"/>
      <c r="O12" s="12" t="str"/>
      <c r="P12" s="9" t="inlineStr">
        <is>
          <t>NO</t>
        </is>
      </c>
      <c r="Q12" s="9" t="inlineStr">
        <is>
          <t>Fútbol Americano</t>
        </is>
      </c>
      <c r="R12" s="9" t="inlineStr">
        <is>
          <t>App</t>
        </is>
      </c>
      <c r="S12" s="9" t="inlineStr">
        <is>
          <t>Bet365</t>
        </is>
      </c>
      <c r="T12" s="12" t="n"/>
    </row>
    <row r="13">
      <c r="A13" s="9" t="inlineStr">
        <is>
          <t>Pre</t>
        </is>
      </c>
      <c r="B13" s="10" t="inlineStr">
        <is>
          <t>Manolo</t>
        </is>
      </c>
      <c r="C13" s="10" t="n">
        <v>2</v>
      </c>
      <c r="D13" s="10" t="n">
        <v>2</v>
      </c>
      <c r="E13" s="11" t="str"/>
      <c r="F13" s="9">
        <f>IF(E13="L",-C13,IF(E13="W",C13*(D13-1),IF(E13="HW",(C13/2)*(D13-1),IF(E13="HL",-C13/2,0))))</f>
        <v/>
      </c>
      <c r="G13" s="9">
        <f>IFERROR(($I$2/VLOOKUP(B13,Tipster_Picks_Dashboard!$A$3:$W$76,2,FALSE))*C13,"")</f>
        <v/>
      </c>
      <c r="H13" s="9">
        <f>IF(E13="w",G13*D13-G13,IF(E13="L",-G13,0))</f>
        <v/>
      </c>
      <c r="I13" s="9" t="inlineStr">
        <is>
          <t>2025-11-17</t>
        </is>
      </c>
      <c r="J13" s="9" t="inlineStr">
        <is>
          <t>00:31</t>
        </is>
      </c>
      <c r="K13" s="9" t="inlineStr">
        <is>
          <t>2025-11-17</t>
        </is>
      </c>
      <c r="L13" s="9" t="inlineStr">
        <is>
          <t>00:31</t>
        </is>
      </c>
      <c r="M13" s="9" t="inlineStr">
        <is>
          <t>2</t>
        </is>
      </c>
      <c r="N13" s="12" t="str"/>
      <c r="O13" s="12" t="str"/>
      <c r="P13" s="9" t="inlineStr">
        <is>
          <t>NO</t>
        </is>
      </c>
      <c r="Q13" s="9" t="inlineStr">
        <is>
          <t>Fútbol</t>
        </is>
      </c>
      <c r="R13" s="9" t="inlineStr">
        <is>
          <t>App</t>
        </is>
      </c>
      <c r="S13" s="9" t="inlineStr">
        <is>
          <t>TonyBet</t>
        </is>
      </c>
      <c r="T13" s="12" t="n"/>
    </row>
    <row r="14">
      <c r="A14" s="9" t="inlineStr">
        <is>
          <t>Pre</t>
        </is>
      </c>
      <c r="B14" s="10" t="inlineStr">
        <is>
          <t>Manolo</t>
        </is>
      </c>
      <c r="C14" s="10" t="n">
        <v>2</v>
      </c>
      <c r="D14" s="10" t="n">
        <v>5</v>
      </c>
      <c r="E14" s="10" t="inlineStr">
        <is>
          <t>W</t>
        </is>
      </c>
      <c r="F14" s="9">
        <f>IF(E14="L",-C14,IF(E14="W",C14*(D14-1),IF(E14="HW",(C14/2)*(D14-1),IF(E14="HL",-C14/2,0))))</f>
        <v/>
      </c>
      <c r="G14" s="9">
        <f>IFERROR(($I$2/VLOOKUP(B14,Tipster_Picks_Dashboard!$A$3:$W$76,2,FALSE))*C14,"")</f>
        <v/>
      </c>
      <c r="H14" s="9">
        <f>IF(E14="w",G14*D14-G14,IF(E14="L",-G14,0))</f>
        <v/>
      </c>
      <c r="I14" s="9" t="inlineStr">
        <is>
          <t>2025-11-17</t>
        </is>
      </c>
      <c r="J14" s="9" t="inlineStr">
        <is>
          <t>00:22</t>
        </is>
      </c>
      <c r="K14" s="9" t="inlineStr">
        <is>
          <t>2025-11-17</t>
        </is>
      </c>
      <c r="L14" s="9" t="inlineStr">
        <is>
          <t>00:22</t>
        </is>
      </c>
      <c r="M14" s="9" t="inlineStr">
        <is>
          <t>reweerw</t>
        </is>
      </c>
      <c r="N14" s="12" t="str"/>
      <c r="O14" s="12" t="str"/>
      <c r="P14" s="9" t="inlineStr">
        <is>
          <t>NO</t>
        </is>
      </c>
      <c r="Q14" s="9" t="inlineStr">
        <is>
          <t>Hockey</t>
        </is>
      </c>
      <c r="R14" s="9" t="inlineStr">
        <is>
          <t>App</t>
        </is>
      </c>
      <c r="S14" s="9" t="inlineStr">
        <is>
          <t>Betsson</t>
        </is>
      </c>
      <c r="T14" s="12" t="n"/>
    </row>
    <row r="15">
      <c r="A15" s="9" t="inlineStr">
        <is>
          <t>Pre</t>
        </is>
      </c>
      <c r="B15" s="10" t="inlineStr">
        <is>
          <t>Manolo</t>
        </is>
      </c>
      <c r="C15" s="10" t="n">
        <v>3</v>
      </c>
      <c r="D15" s="10" t="n">
        <v>2</v>
      </c>
      <c r="E15" s="10" t="inlineStr">
        <is>
          <t>W</t>
        </is>
      </c>
      <c r="F15" s="9">
        <f>IF(E15="L",-C15,IF(E15="W",C15*(D15-1),IF(E15="HW",(C15/2)*(D15-1),IF(E15="HL",-C15/2,0))))</f>
        <v/>
      </c>
      <c r="G15" s="9">
        <f>IFERROR(($I$2/VLOOKUP(B15,Tipster_Picks_Dashboard!$A$3:$W$76,2,FALSE))*C15,"")</f>
        <v/>
      </c>
      <c r="H15" s="9">
        <f>IF(E15="w",G15*D15-G15,IF(E15="L",-G15,0))</f>
        <v/>
      </c>
      <c r="I15" s="9" t="inlineStr">
        <is>
          <t>2025-11-13</t>
        </is>
      </c>
      <c r="J15" s="9" t="inlineStr">
        <is>
          <t>16:18</t>
        </is>
      </c>
      <c r="K15" s="9" t="inlineStr">
        <is>
          <t>2025-11-13</t>
        </is>
      </c>
      <c r="L15" s="9" t="inlineStr">
        <is>
          <t>16:18</t>
        </is>
      </c>
      <c r="M15" s="9" t="inlineStr">
        <is>
          <t>fsdfdffsdf</t>
        </is>
      </c>
      <c r="N15" s="12" t="str"/>
      <c r="O15" s="12" t="str"/>
      <c r="P15" s="9" t="inlineStr">
        <is>
          <t>NO</t>
        </is>
      </c>
      <c r="Q15" s="9" t="inlineStr">
        <is>
          <t>Fútbol</t>
        </is>
      </c>
      <c r="R15" s="9" t="inlineStr">
        <is>
          <t>App</t>
        </is>
      </c>
      <c r="S15" s="9" t="inlineStr">
        <is>
          <t>1xBet</t>
        </is>
      </c>
      <c r="T15" s="12" t="n"/>
    </row>
    <row r="16">
      <c r="A16" s="12" t="n"/>
      <c r="B16" s="11" t="n"/>
      <c r="C16" s="11" t="n"/>
      <c r="D16" s="11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>
      <c r="A17" s="12" t="n"/>
      <c r="B17" s="11" t="n"/>
      <c r="C17" s="11" t="n"/>
      <c r="D17" s="11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>
      <c r="A18" s="12" t="n"/>
      <c r="B18" s="11" t="n"/>
      <c r="C18" s="11" t="n"/>
      <c r="D18" s="11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>
      <c r="A19" s="12" t="n"/>
      <c r="B19" s="11" t="n"/>
      <c r="C19" s="11" t="n"/>
      <c r="D19" s="11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>
      <c r="A20" s="12" t="n"/>
      <c r="B20" s="11" t="n"/>
      <c r="C20" s="11" t="n"/>
      <c r="D20" s="11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>
      <c r="A21" s="12" t="n"/>
      <c r="B21" s="11" t="n"/>
      <c r="C21" s="11" t="n"/>
      <c r="D21" s="11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>
      <c r="A22" s="12" t="n"/>
      <c r="B22" s="11" t="n"/>
      <c r="C22" s="11" t="n"/>
      <c r="D22" s="11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>
      <c r="A23" s="12" t="n"/>
      <c r="B23" s="11" t="n"/>
      <c r="C23" s="11" t="n"/>
      <c r="D23" s="11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>
      <c r="A24" s="12" t="n"/>
      <c r="B24" s="11" t="n"/>
      <c r="C24" s="11" t="n"/>
      <c r="D24" s="11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>
      <c r="A25" s="12" t="n"/>
      <c r="B25" s="11" t="n"/>
      <c r="C25" s="11" t="n"/>
      <c r="D25" s="11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n"/>
      <c r="B26" s="11" t="n"/>
      <c r="C26" s="11" t="n"/>
      <c r="D26" s="11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n"/>
      <c r="B27" s="11" t="n"/>
      <c r="C27" s="11" t="n"/>
      <c r="D27" s="11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n"/>
      <c r="B28" s="11" t="n"/>
      <c r="C28" s="11" t="n"/>
      <c r="D28" s="11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n"/>
      <c r="B29" s="11" t="n"/>
      <c r="C29" s="11" t="n"/>
      <c r="D29" s="11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n"/>
      <c r="B30" s="11" t="n"/>
      <c r="C30" s="11" t="n"/>
      <c r="D30" s="11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n"/>
      <c r="B31" s="11" t="n"/>
      <c r="C31" s="11" t="n"/>
      <c r="D31" s="11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n"/>
      <c r="B32" s="11" t="n"/>
      <c r="C32" s="11" t="n"/>
      <c r="D32" s="11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n"/>
      <c r="B33" s="11" t="n"/>
      <c r="C33" s="11" t="n"/>
      <c r="D33" s="11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n"/>
      <c r="B34" s="11" t="n"/>
      <c r="C34" s="11" t="n"/>
      <c r="D34" s="11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n"/>
      <c r="B35" s="11" t="n"/>
      <c r="C35" s="11" t="n"/>
      <c r="D35" s="11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n"/>
      <c r="B36" s="11" t="n"/>
      <c r="C36" s="11" t="n"/>
      <c r="D36" s="11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n"/>
      <c r="B37" s="11" t="n"/>
      <c r="C37" s="11" t="n"/>
      <c r="D37" s="11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n"/>
      <c r="B38" s="11" t="n"/>
      <c r="C38" s="11" t="n"/>
      <c r="D38" s="11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n"/>
      <c r="B39" s="11" t="n"/>
      <c r="C39" s="11" t="n"/>
      <c r="D39" s="11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12" t="n"/>
      <c r="B40" s="11" t="n"/>
      <c r="C40" s="11" t="n"/>
      <c r="D40" s="11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>
      <c r="A41" s="12" t="n"/>
      <c r="B41" s="11" t="n"/>
      <c r="C41" s="11" t="n"/>
      <c r="D41" s="11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12" t="n"/>
      <c r="B42" s="11" t="n"/>
      <c r="C42" s="11" t="n"/>
      <c r="D42" s="11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>
      <c r="A43" s="12" t="n"/>
      <c r="B43" s="11" t="n"/>
      <c r="C43" s="11" t="n"/>
      <c r="D43" s="11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12" t="n"/>
      <c r="B44" s="11" t="n"/>
      <c r="C44" s="11" t="n"/>
      <c r="D44" s="11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>
      <c r="A45" s="12" t="n"/>
      <c r="B45" s="11" t="n"/>
      <c r="C45" s="11" t="n"/>
      <c r="D45" s="11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>
      <c r="A46" s="12" t="n"/>
      <c r="B46" s="11" t="n"/>
      <c r="C46" s="11" t="n"/>
      <c r="D46" s="11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>
      <c r="A47" s="12" t="n"/>
      <c r="B47" s="11" t="n"/>
      <c r="C47" s="11" t="n"/>
      <c r="D47" s="11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>
      <c r="A48" s="12" t="n"/>
      <c r="B48" s="11" t="n"/>
      <c r="C48" s="11" t="n"/>
      <c r="D48" s="11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>
      <c r="A49" s="12" t="n"/>
      <c r="B49" s="11" t="n"/>
      <c r="C49" s="11" t="n"/>
      <c r="D49" s="11" t="n"/>
      <c r="E49" s="11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>
      <c r="A50" s="12" t="n"/>
      <c r="B50" s="11" t="n"/>
      <c r="C50" s="11" t="n"/>
      <c r="D50" s="11" t="n"/>
      <c r="E50" s="11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</row>
  </sheetData>
  <mergeCells count="3">
    <mergeCell ref="F3:T5"/>
    <mergeCell ref="M6:O6"/>
    <mergeCell ref="A3:E5"/>
  </mergeCells>
  <conditionalFormatting sqref="E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F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G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H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7:E50">
    <cfRule type="cellIs" priority="9" operator="equal" dxfId="0">
      <formula>"L"</formula>
    </cfRule>
    <cfRule type="cellIs" priority="10" operator="equal" dxfId="1">
      <formula>"W"</formula>
    </cfRule>
  </conditionalFormatting>
  <dataValidations count="7">
    <dataValidation sqref="A7:A1853" showDropDown="0" showInputMessage="0" showErrorMessage="0" allowBlank="1" errorTitle="Valor no válido" error="Selecciona: PRE, LIVE o Combinado" type="list">
      <formula1>'Base datos'!$G$2:$G$4</formula1>
    </dataValidation>
    <dataValidation sqref="B7:B1853" showDropDown="0" showInputMessage="0" showErrorMessage="0" allowBlank="1" errorTitle="Tipster no válido" error="Selecciona un tipster de la lista" type="list">
      <formula1>Tipster_Picks_Dashboard!$A$3:$A$100</formula1>
    </dataValidation>
    <dataValidation sqref="E7:E1853" showDropDown="0" showInputMessage="0" showErrorMessage="0" allowBlank="1" errorTitle="Resultado no válido" error="Selecciona: W (Win), L (Loss), V (Void), HW (Half Win), HL (Half Loss)" type="list">
      <formula1>"W,L,V,HW,HL"</formula1>
    </dataValidation>
    <dataValidation sqref="P7:P1853" showDropDown="0" showInputMessage="0" showErrorMessage="0" allowBlank="1" errorTitle="Valor no válido" error="Selecciona: Si o No" type="list">
      <formula1>'Base datos'!$I$2:$I$4</formula1>
    </dataValidation>
    <dataValidation sqref="Q7:Q1853" showDropDown="0" showInputMessage="0" showErrorMessage="0" allowBlank="1" errorTitle="Deporte no válido" error="Selecciona un deporte de la lista" type="list">
      <formula1>'Base datos'!$E$2:$E$20</formula1>
    </dataValidation>
    <dataValidation sqref="R7:R1853" showDropDown="0" showInputMessage="0" showErrorMessage="0" allowBlank="1" errorTitle="Plataforma no válida" error="Selecciona una plataforma de la lista" type="list">
      <formula1>'Base datos'!$C$2:$C$20</formula1>
    </dataValidation>
    <dataValidation sqref="S7:S1853" showDropDown="0" showInputMessage="0" showErrorMessage="0" allowBlank="1" errorTitle="Bookmaker no válido" error="Selecciona un bookmaker de la lista" type="list">
      <formula1>'Base datos'!$A$2:$A$30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6" customWidth="1" min="6" max="6"/>
    <col width="8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6" customWidth="1" min="18" max="18"/>
    <col width="7" customWidth="1" min="19" max="19"/>
    <col width="7" customWidth="1" min="20" max="20"/>
    <col width="7" customWidth="1" min="21" max="21"/>
    <col width="8" customWidth="1" min="22" max="22"/>
    <col width="6" customWidth="1" min="23" max="23"/>
    <col width="7" customWidth="1" min="24" max="24"/>
    <col width="6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s="3" t="inlineStr">
        <is>
          <t>NECESARIO RELLENAR TIPSTER</t>
        </is>
      </c>
      <c r="N1" s="5" t="inlineStr">
        <is>
          <t>% Aciertos Segun deporte</t>
        </is>
      </c>
    </row>
    <row r="2">
      <c r="A2" s="13" t="inlineStr">
        <is>
          <t>TIPSTER</t>
        </is>
      </c>
      <c r="B2" s="14" t="inlineStr">
        <is>
          <t>Juega a Unidades</t>
        </is>
      </c>
      <c r="C2" s="14" t="inlineStr">
        <is>
          <t>Benficio UDS</t>
        </is>
      </c>
      <c r="D2" s="14" t="inlineStr">
        <is>
          <t>Beneficio</t>
        </is>
      </c>
      <c r="E2" s="14" t="inlineStr">
        <is>
          <t>Apostado</t>
        </is>
      </c>
      <c r="F2" s="14" t="inlineStr">
        <is>
          <t>YIELD</t>
        </is>
      </c>
      <c r="G2" s="14" t="inlineStr">
        <is>
          <t>Tips totales</t>
        </is>
      </c>
      <c r="H2" s="14" t="inlineStr">
        <is>
          <t>Tips W</t>
        </is>
      </c>
      <c r="I2" s="14" t="inlineStr">
        <is>
          <t>Tips L</t>
        </is>
      </c>
      <c r="J2" s="14" t="inlineStr">
        <is>
          <t>Tips V</t>
        </is>
      </c>
      <c r="K2" s="14" t="inlineStr">
        <is>
          <t>% Tips Aciertados</t>
        </is>
      </c>
      <c r="L2" s="14" t="inlineStr">
        <is>
          <t>% Aciertos Live</t>
        </is>
      </c>
      <c r="M2" s="14" t="inlineStr">
        <is>
          <t>% Aciertos PRE</t>
        </is>
      </c>
      <c r="N2" s="14" t="inlineStr">
        <is>
          <t>TENIS</t>
        </is>
      </c>
      <c r="O2" s="14" t="inlineStr">
        <is>
          <t>BALONCESTO</t>
        </is>
      </c>
      <c r="P2" s="14" t="inlineStr">
        <is>
          <t>TENIS MESA</t>
        </is>
      </c>
      <c r="Q2" s="14" t="inlineStr">
        <is>
          <t>FUTBOL</t>
        </is>
      </c>
      <c r="R2" s="14" t="inlineStr">
        <is>
          <t>UFC</t>
        </is>
      </c>
      <c r="S2" s="14" t="inlineStr">
        <is>
          <t>NFL</t>
        </is>
      </c>
      <c r="T2" s="14" t="inlineStr">
        <is>
          <t>CABALLOS</t>
        </is>
      </c>
      <c r="U2" s="14" t="str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13" t="inlineStr">
        <is>
          <t>Manolo</t>
        </is>
      </c>
      <c r="B3" s="15" t="n">
        <v>100</v>
      </c>
      <c r="C3" s="15">
        <f>SUMIF(Realizadas!$B$7:$B$2003,A3,Realizadas!$F$7:$F$2003)</f>
        <v/>
      </c>
      <c r="D3" s="15">
        <f>SUMIF(Realizadas!$B$7:$B$2003,A3,Realizadas!$H$7:$H$2003)</f>
        <v/>
      </c>
      <c r="E3" s="15">
        <f>SUMIF(Realizadas!$B$7:$B$2003,A3,Realizadas!$G$7:$G$2003)</f>
        <v/>
      </c>
      <c r="F3" s="15">
        <f>IFERROR(D3/E3,"")</f>
        <v/>
      </c>
      <c r="G3" s="15">
        <f>COUNTIFS(Realizadas!$B$7:$B$2003,A3,Realizadas!$E$7:$E$2003,"&lt;&gt;")</f>
        <v/>
      </c>
      <c r="H3" s="15">
        <f>COUNTIFS(Realizadas!$B$7:$B$2003,A3,Realizadas!$E$7:$E$2003,"W")</f>
        <v/>
      </c>
      <c r="I3" s="15">
        <f>COUNTIFS(Realizadas!$B$7:$B$2003,A3,Realizadas!$E$7:$E$2003,"L")</f>
        <v/>
      </c>
      <c r="J3" s="15">
        <f>COUNTIFS(Realizadas!$B$7:$B$2003,A3,Realizadas!$E$7:$E$2003,"V")</f>
        <v/>
      </c>
      <c r="K3" s="15">
        <f>IFERROR(H3/G3,"")</f>
        <v/>
      </c>
      <c r="L3" s="15">
        <f>IFERROR((COUNTIFS(Realizadas!$B$7:$B$2006,A3,Realizadas!$A$7:$A$2006,"LIVE",Realizadas!$E$7:$E$2006,"W"))/H3,0)</f>
        <v/>
      </c>
      <c r="M3" s="15">
        <f>IFERROR((COUNTIFS(Realizadas!B7:B2006,A3,Realizadas!A7:A2006,"PRE",Realizadas!$E$7:$E$2006,"W"))/H3,0)</f>
        <v/>
      </c>
      <c r="N3" s="15">
        <f>IFERROR(((COUNTIFS(Realizadas!$B$7:$B$2003,$A3,Realizadas!$E$7:$E$2003,"W",Realizadas!$R$7:$R$2003,N$2))/$H3),0)</f>
        <v/>
      </c>
      <c r="O3" s="15">
        <f>IFERROR(((COUNTIFS(Realizadas!$B$7:$B$2003,$A3,Realizadas!$E$7:$E$2003,"W",Realizadas!$R$7:$R$2003,O$2))/$H3),0)</f>
        <v/>
      </c>
      <c r="P3" s="15">
        <f>IFERROR(((COUNTIFS(Realizadas!$B$7:$B$2003,$A3,Realizadas!$E$7:$E$2003,"W",Realizadas!$R$7:$R$2003,P$2))/$H3),0)</f>
        <v/>
      </c>
      <c r="Q3" s="15">
        <f>IFERROR(((COUNTIFS(Realizadas!$B$7:$B$2003,$A3,Realizadas!$E$7:$E$2003,"W",Realizadas!$R$7:$R$2003,Q$2))/$H3),0)</f>
        <v/>
      </c>
      <c r="R3" s="15">
        <f>IFERROR(((COUNTIFS(Realizadas!$B$7:$B$2003,$A3,Realizadas!$E$7:$E$2003,"W",Realizadas!$R$7:$R$2003,R$2))/$H3),0)</f>
        <v/>
      </c>
      <c r="S3" s="15">
        <f>IFERROR(((COUNTIFS(Realizadas!$B$7:$B$2003,$A3,Realizadas!$E$7:$E$2003,"W",Realizadas!$R$7:$R$2003,S$2))/$H3),0)</f>
        <v/>
      </c>
      <c r="T3" s="15">
        <f>IFERROR(((COUNTIFS(Realizadas!$B$7:$B$2003,$A3,Realizadas!$E$7:$E$2003,"W",Realizadas!$R$7:$R$2003,T$2))/$H3),0)</f>
        <v/>
      </c>
      <c r="U3" s="15" t="str"/>
      <c r="V3" s="15" t="n"/>
      <c r="W3" s="15" t="n"/>
      <c r="X3" s="15" t="n"/>
      <c r="Y3" s="15" t="n"/>
      <c r="Z3" s="15" t="n"/>
      <c r="AA3" s="15" t="n"/>
      <c r="AB3" s="15" t="n"/>
      <c r="AC3" s="15" t="n"/>
    </row>
    <row r="4">
      <c r="A4" s="13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</row>
    <row r="5">
      <c r="A5" s="13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</row>
    <row r="6">
      <c r="A6" s="13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</row>
    <row r="7">
      <c r="A7" s="13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</row>
    <row r="8">
      <c r="A8" s="13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</row>
    <row r="9">
      <c r="A9" s="13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</row>
    <row r="10">
      <c r="A10" s="13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</row>
    <row r="11">
      <c r="A11" s="13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</row>
    <row r="12">
      <c r="A12" s="13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</row>
    <row r="13">
      <c r="A13" s="13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</row>
    <row r="14">
      <c r="A14" s="13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</row>
    <row r="15">
      <c r="A15" s="13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</row>
    <row r="16">
      <c r="A16" s="13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</row>
    <row r="17">
      <c r="A17" s="13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</row>
    <row r="18">
      <c r="A18" s="13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</row>
    <row r="19">
      <c r="A19" s="13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</row>
    <row r="20">
      <c r="A20" s="13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</row>
    <row r="21">
      <c r="A21" s="13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</row>
    <row r="22">
      <c r="A22" s="13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</row>
    <row r="23">
      <c r="A23" s="13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</row>
    <row r="24">
      <c r="A24" s="13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</row>
    <row r="25">
      <c r="A25" s="13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</row>
    <row r="26">
      <c r="A26" s="13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</row>
    <row r="27">
      <c r="A27" s="13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</row>
    <row r="28">
      <c r="A28" s="13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</row>
    <row r="29">
      <c r="A29" s="13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</row>
    <row r="30">
      <c r="A30" s="13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</row>
    <row r="31">
      <c r="A31" s="13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</row>
    <row r="32">
      <c r="A32" s="13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</row>
    <row r="33">
      <c r="A33" s="13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</row>
    <row r="34">
      <c r="A34" s="13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</row>
    <row r="35">
      <c r="A35" s="13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</row>
    <row r="36">
      <c r="A36" s="13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</row>
    <row r="37">
      <c r="A37" s="13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</row>
    <row r="38">
      <c r="A38" s="13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</row>
    <row r="39">
      <c r="A39" s="13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</row>
    <row r="40">
      <c r="A40" s="13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</row>
    <row r="41">
      <c r="A41" s="13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</row>
    <row r="42">
      <c r="A42" s="13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</row>
    <row r="43">
      <c r="A43" s="13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</row>
    <row r="44">
      <c r="A44" s="13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</row>
    <row r="45">
      <c r="A45" s="13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</row>
    <row r="46">
      <c r="A46" s="13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</row>
    <row r="47">
      <c r="A47" s="13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</row>
    <row r="48">
      <c r="A48" s="13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</row>
    <row r="49">
      <c r="A49" s="13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</row>
    <row r="50">
      <c r="A50" s="13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</row>
    <row r="51">
      <c r="A51" s="13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</row>
    <row r="52">
      <c r="A52" s="13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</row>
    <row r="53">
      <c r="A53" s="13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</row>
    <row r="54">
      <c r="A54" s="13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</row>
    <row r="55">
      <c r="A55" s="13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</row>
    <row r="56">
      <c r="A56" s="13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</row>
    <row r="57">
      <c r="A57" s="13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</row>
    <row r="58">
      <c r="A58" s="13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</row>
    <row r="59">
      <c r="A59" s="13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</row>
    <row r="60">
      <c r="A60" s="13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</row>
    <row r="61">
      <c r="A61" s="13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</row>
    <row r="62">
      <c r="A62" s="13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</row>
    <row r="63">
      <c r="A63" s="13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</row>
    <row r="64">
      <c r="A64" s="13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</row>
    <row r="65">
      <c r="A65" s="13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</row>
    <row r="66">
      <c r="A66" s="13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</row>
    <row r="67">
      <c r="A67" s="13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</row>
    <row r="68">
      <c r="A68" s="13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</row>
    <row r="69">
      <c r="A69" s="13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</row>
    <row r="70">
      <c r="A70" s="13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</row>
    <row r="71">
      <c r="A71" s="13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</row>
    <row r="72">
      <c r="A72" s="13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</row>
    <row r="73">
      <c r="A73" s="13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</row>
    <row r="74">
      <c r="A74" s="13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</row>
    <row r="75">
      <c r="A75" s="13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</row>
    <row r="76">
      <c r="A76" s="13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</row>
    <row r="77">
      <c r="A77" s="13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</row>
    <row r="78">
      <c r="A78" s="13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</row>
    <row r="79">
      <c r="A79" s="13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</row>
    <row r="80">
      <c r="A80" s="13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</row>
    <row r="81">
      <c r="A81" s="13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</row>
    <row r="82">
      <c r="A82" s="13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</row>
    <row r="83">
      <c r="A83" s="13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</row>
    <row r="84">
      <c r="A84" s="13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</row>
    <row r="85">
      <c r="A85" s="13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</row>
    <row r="86">
      <c r="A86" s="13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</row>
    <row r="87">
      <c r="A87" s="13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</row>
    <row r="88">
      <c r="A88" s="13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</row>
    <row r="89">
      <c r="A89" s="13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</row>
    <row r="90">
      <c r="A90" s="13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</row>
    <row r="91">
      <c r="A91" s="13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</row>
    <row r="92">
      <c r="A92" s="13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</row>
    <row r="93">
      <c r="A93" s="13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</row>
    <row r="94">
      <c r="A94" s="13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</row>
    <row r="95">
      <c r="A95" s="13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</row>
    <row r="96">
      <c r="A96" s="13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</row>
    <row r="97">
      <c r="A97" s="13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</row>
    <row r="98">
      <c r="A98" s="13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</row>
    <row r="99">
      <c r="A99" s="13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</row>
    <row r="100">
      <c r="A100" s="13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</row>
    <row r="101">
      <c r="A101" s="13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</row>
    <row r="102">
      <c r="A102" s="13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</row>
  </sheetData>
  <mergeCells count="1">
    <mergeCell ref="N1:AC1"/>
  </mergeCells>
  <conditionalFormatting sqref="C3:C10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D3:D100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F3:F100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6" customWidth="1" min="6" max="6"/>
    <col width="8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6" customWidth="1" min="18" max="18"/>
    <col width="7" customWidth="1" min="19" max="19"/>
    <col width="7" customWidth="1" min="20" max="20"/>
    <col width="7" customWidth="1" min="21" max="21"/>
    <col width="8" customWidth="1" min="22" max="22"/>
    <col width="6" customWidth="1" min="23" max="23"/>
    <col width="7" customWidth="1" min="24" max="24"/>
    <col width="6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s="3" t="inlineStr">
        <is>
          <t>NECESARIO RELLENAR TIPSTER</t>
        </is>
      </c>
      <c r="N1" s="5" t="inlineStr">
        <is>
          <t>% Aciertos Segun deporte</t>
        </is>
      </c>
    </row>
    <row r="2">
      <c r="A2" s="13" t="inlineStr">
        <is>
          <t>TIPSTER</t>
        </is>
      </c>
      <c r="B2" s="14" t="inlineStr">
        <is>
          <t>Juega a Unidades</t>
        </is>
      </c>
      <c r="C2" s="14" t="inlineStr">
        <is>
          <t>Benficio UDS</t>
        </is>
      </c>
      <c r="D2" s="14" t="inlineStr">
        <is>
          <t>Beneficio</t>
        </is>
      </c>
      <c r="E2" s="14" t="inlineStr">
        <is>
          <t>Apostado</t>
        </is>
      </c>
      <c r="F2" s="14" t="inlineStr">
        <is>
          <t>YIELD</t>
        </is>
      </c>
      <c r="G2" s="14" t="inlineStr">
        <is>
          <t>Tips totales</t>
        </is>
      </c>
      <c r="H2" s="14" t="inlineStr">
        <is>
          <t>Tips W</t>
        </is>
      </c>
      <c r="I2" s="14" t="inlineStr">
        <is>
          <t>Tips L</t>
        </is>
      </c>
      <c r="J2" s="14" t="inlineStr">
        <is>
          <t>Tips V</t>
        </is>
      </c>
      <c r="K2" s="14" t="inlineStr">
        <is>
          <t>% Tips Aciertados</t>
        </is>
      </c>
      <c r="L2" s="14" t="inlineStr">
        <is>
          <t>% Aciertos Live</t>
        </is>
      </c>
      <c r="M2" s="14" t="inlineStr">
        <is>
          <t>% Aciertos PRE</t>
        </is>
      </c>
      <c r="N2" s="14" t="inlineStr">
        <is>
          <t>TENIS</t>
        </is>
      </c>
      <c r="O2" s="14" t="inlineStr">
        <is>
          <t>BALONCESTO</t>
        </is>
      </c>
      <c r="P2" s="14" t="inlineStr">
        <is>
          <t>TENIS MESA</t>
        </is>
      </c>
      <c r="Q2" s="14" t="inlineStr">
        <is>
          <t>FUTBOL</t>
        </is>
      </c>
      <c r="R2" s="14" t="inlineStr">
        <is>
          <t>UFC</t>
        </is>
      </c>
      <c r="S2" s="14" t="inlineStr">
        <is>
          <t>NFL</t>
        </is>
      </c>
      <c r="T2" s="14" t="inlineStr">
        <is>
          <t>CABALLOS</t>
        </is>
      </c>
      <c r="U2" s="14" t="str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13" t="inlineStr">
        <is>
          <t>Manolo</t>
        </is>
      </c>
      <c r="B3" s="15" t="n">
        <v>100</v>
      </c>
      <c r="C3" s="15">
        <f>SUMIF('Lanzadas Tipster'!$B$7:$B$1855,A3,'Lanzadas Tipster'!$F$7:$F$1855)</f>
        <v/>
      </c>
      <c r="D3" s="15">
        <f>SUMIF('Lanzadas Tipster'!$B$7:$B$1855,A3,'Lanzadas Tipster'!$H$7:$H$1855)</f>
        <v/>
      </c>
      <c r="E3" s="15">
        <f>SUMIF('Lanzadas Tipster'!$B$7:$B$1855,A3,'Lanzadas Tipster'!$G$7:$G$1855)</f>
        <v/>
      </c>
      <c r="F3" s="15">
        <f>IFERROR(D3/E3,"")</f>
        <v/>
      </c>
      <c r="G3" s="15">
        <f>COUNTIFS('Lanzadas Tipster'!$B$7:$B$1855,A3,'Lanzadas Tipster'!$E$7:$E$1855,"&lt;&gt;")</f>
        <v/>
      </c>
      <c r="H3" s="15">
        <f>COUNTIFS('Lanzadas Tipster'!$B$7:$B$1855,A3,'Lanzadas Tipster'!$E$7:$E$1855,"W")</f>
        <v/>
      </c>
      <c r="I3" s="15">
        <f>COUNTIFS('Lanzadas Tipster'!$B$7:$B$1855,A3,'Lanzadas Tipster'!$E$7:$E$1855,"L")</f>
        <v/>
      </c>
      <c r="J3" s="15">
        <f>COUNTIFS('Lanzadas Tipster'!$B$7:$B$1855,A3,'Lanzadas Tipster'!$E$7:$E$1855,"V")</f>
        <v/>
      </c>
      <c r="K3" s="15">
        <f>IFERROR(H3/G3,"")</f>
        <v/>
      </c>
      <c r="L3" s="15">
        <f>IFERROR((COUNTIFS('Lanzadas Tipster'!$B$7:$B$1851,A3,'Lanzadas Tipster'!$A$7:$A$1851,"LIVE",'Lanzadas Tipster'!$E$7:$E$1851,"W"))/H3,0)</f>
        <v/>
      </c>
      <c r="M3" s="15">
        <f>IFERROR((COUNTIFS('Lanzadas Tipster'!$B$7:$B$1851,A3,'Lanzadas Tipster'!$A$7:$A$1851,"PRE",'Lanzadas Tipster'!$E$7:$E$1851,"W"))/H3,0)</f>
        <v/>
      </c>
      <c r="N3" s="15">
        <f>IFERROR(((COUNTIFS('Lanzadas Tipster'!$B$7:$B$1855,$A3,'Lanzadas Tipster'!$E$7:$E$1855,"W",'Lanzadas Tipster'!$Q$7:$Q$1855,N$2))/$H3),0)</f>
        <v/>
      </c>
      <c r="O3" s="15">
        <f>IFERROR(((COUNTIFS('Lanzadas Tipster'!$B$7:$B$1855,$A3,'Lanzadas Tipster'!$E$7:$E$1855,"W",'Lanzadas Tipster'!$Q$7:$Q$1855,O$2))/$H3),0)</f>
        <v/>
      </c>
      <c r="P3" s="15">
        <f>IFERROR(((COUNTIFS('Lanzadas Tipster'!$B$7:$B$1855,$A3,'Lanzadas Tipster'!$E$7:$E$1855,"W",'Lanzadas Tipster'!$Q$7:$Q$1855,P$2))/$H3),0)</f>
        <v/>
      </c>
      <c r="Q3" s="15">
        <f>IFERROR(((COUNTIFS('Lanzadas Tipster'!$B$7:$B$1855,$A3,'Lanzadas Tipster'!$E$7:$E$1855,"W",'Lanzadas Tipster'!$Q$7:$Q$1855,Q$2))/$H3),0)</f>
        <v/>
      </c>
      <c r="R3" s="15">
        <f>IFERROR(((COUNTIFS('Lanzadas Tipster'!$B$7:$B$1855,$A3,'Lanzadas Tipster'!$E$7:$E$1855,"W",'Lanzadas Tipster'!$Q$7:$Q$1855,R$2))/$H3),0)</f>
        <v/>
      </c>
      <c r="S3" s="15">
        <f>IFERROR(((COUNTIFS('Lanzadas Tipster'!$B$7:$B$1855,$A3,'Lanzadas Tipster'!$E$7:$E$1855,"W",'Lanzadas Tipster'!$Q$7:$Q$1855,S$2))/$H3),0)</f>
        <v/>
      </c>
      <c r="T3" s="15">
        <f>IFERROR(((COUNTIFS('Lanzadas Tipster'!$B$7:$B$1855,$A3,'Lanzadas Tipster'!$E$7:$E$1855,"W",'Lanzadas Tipster'!$Q$7:$Q$1855,T$2))/$H3),0)</f>
        <v/>
      </c>
      <c r="U3" s="15" t="str"/>
      <c r="V3" s="15" t="n"/>
      <c r="W3" s="15" t="n"/>
      <c r="X3" s="15" t="n"/>
      <c r="Y3" s="15" t="n"/>
      <c r="Z3" s="15" t="n"/>
      <c r="AA3" s="15" t="n"/>
      <c r="AB3" s="15" t="n"/>
      <c r="AC3" s="15" t="n"/>
    </row>
    <row r="4">
      <c r="A4" s="13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</row>
    <row r="5">
      <c r="A5" s="13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</row>
    <row r="6">
      <c r="A6" s="13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</row>
    <row r="7">
      <c r="A7" s="13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</row>
    <row r="8">
      <c r="A8" s="13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</row>
    <row r="9">
      <c r="A9" s="13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</row>
    <row r="10">
      <c r="A10" s="13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</row>
    <row r="11">
      <c r="A11" s="13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</row>
    <row r="12">
      <c r="A12" s="13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</row>
    <row r="13">
      <c r="A13" s="13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</row>
    <row r="14">
      <c r="A14" s="13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</row>
    <row r="15">
      <c r="A15" s="13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</row>
    <row r="16">
      <c r="A16" s="13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</row>
    <row r="17">
      <c r="A17" s="13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</row>
    <row r="18">
      <c r="A18" s="13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</row>
    <row r="19">
      <c r="A19" s="13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</row>
    <row r="20">
      <c r="A20" s="13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</row>
    <row r="21">
      <c r="A21" s="13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</row>
    <row r="22">
      <c r="A22" s="13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</row>
    <row r="23">
      <c r="A23" s="13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</row>
    <row r="24">
      <c r="A24" s="13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</row>
    <row r="25">
      <c r="A25" s="13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</row>
    <row r="26">
      <c r="A26" s="13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</row>
    <row r="27">
      <c r="A27" s="13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</row>
    <row r="28">
      <c r="A28" s="13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</row>
    <row r="29">
      <c r="A29" s="13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</row>
    <row r="30">
      <c r="A30" s="13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</row>
    <row r="31">
      <c r="A31" s="13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</row>
    <row r="32">
      <c r="A32" s="13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</row>
    <row r="33">
      <c r="A33" s="13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</row>
    <row r="34">
      <c r="A34" s="13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</row>
    <row r="35">
      <c r="A35" s="13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</row>
    <row r="36">
      <c r="A36" s="13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</row>
    <row r="37">
      <c r="A37" s="13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</row>
    <row r="38">
      <c r="A38" s="13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</row>
    <row r="39">
      <c r="A39" s="13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</row>
    <row r="40">
      <c r="A40" s="13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</row>
    <row r="41">
      <c r="A41" s="13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</row>
    <row r="42">
      <c r="A42" s="13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</row>
    <row r="43">
      <c r="A43" s="13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</row>
    <row r="44">
      <c r="A44" s="13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</row>
    <row r="45">
      <c r="A45" s="13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</row>
    <row r="46">
      <c r="A46" s="13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</row>
    <row r="47">
      <c r="A47" s="13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</row>
    <row r="48">
      <c r="A48" s="13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</row>
    <row r="49">
      <c r="A49" s="13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</row>
    <row r="50">
      <c r="A50" s="13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</row>
    <row r="51">
      <c r="A51" s="13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</row>
    <row r="52">
      <c r="A52" s="13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</row>
    <row r="53">
      <c r="A53" s="13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</row>
    <row r="54">
      <c r="A54" s="13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</row>
    <row r="55">
      <c r="A55" s="13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</row>
    <row r="56">
      <c r="A56" s="13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</row>
    <row r="57">
      <c r="A57" s="13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</row>
    <row r="58">
      <c r="A58" s="13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</row>
    <row r="59">
      <c r="A59" s="13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</row>
    <row r="60">
      <c r="A60" s="13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</row>
    <row r="61">
      <c r="A61" s="13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</row>
    <row r="62">
      <c r="A62" s="13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</row>
    <row r="63">
      <c r="A63" s="13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</row>
    <row r="64">
      <c r="A64" s="13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</row>
    <row r="65">
      <c r="A65" s="13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</row>
    <row r="66">
      <c r="A66" s="13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</row>
    <row r="67">
      <c r="A67" s="13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</row>
    <row r="68">
      <c r="A68" s="13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</row>
    <row r="69">
      <c r="A69" s="13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</row>
    <row r="70">
      <c r="A70" s="13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</row>
    <row r="71">
      <c r="A71" s="13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</row>
    <row r="72">
      <c r="A72" s="13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</row>
    <row r="73">
      <c r="A73" s="13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</row>
    <row r="74">
      <c r="A74" s="13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</row>
    <row r="75">
      <c r="A75" s="13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</row>
    <row r="76">
      <c r="A76" s="13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</row>
    <row r="77">
      <c r="A77" s="13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</row>
    <row r="78">
      <c r="A78" s="13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</row>
    <row r="79">
      <c r="A79" s="13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</row>
    <row r="80">
      <c r="A80" s="13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</row>
    <row r="81">
      <c r="A81" s="13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</row>
    <row r="82">
      <c r="A82" s="13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</row>
    <row r="83">
      <c r="A83" s="13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</row>
    <row r="84">
      <c r="A84" s="13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</row>
    <row r="85">
      <c r="A85" s="13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</row>
    <row r="86">
      <c r="A86" s="13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</row>
    <row r="87">
      <c r="A87" s="13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</row>
    <row r="88">
      <c r="A88" s="13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</row>
    <row r="89">
      <c r="A89" s="13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</row>
    <row r="90">
      <c r="A90" s="13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</row>
    <row r="91">
      <c r="A91" s="13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</row>
    <row r="92">
      <c r="A92" s="13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</row>
    <row r="93">
      <c r="A93" s="13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</row>
    <row r="94">
      <c r="A94" s="13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</row>
    <row r="95">
      <c r="A95" s="13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</row>
    <row r="96">
      <c r="A96" s="13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</row>
    <row r="97">
      <c r="A97" s="13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</row>
    <row r="98">
      <c r="A98" s="13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</row>
    <row r="99">
      <c r="A99" s="13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</row>
    <row r="100">
      <c r="A100" s="13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</row>
    <row r="101">
      <c r="A101" s="13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</row>
    <row r="102">
      <c r="A102" s="13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</row>
  </sheetData>
  <mergeCells count="1">
    <mergeCell ref="N1:AC1"/>
  </mergeCells>
  <conditionalFormatting sqref="C3:C10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D3:D100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F3:F100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BOOKIES</t>
        </is>
      </c>
      <c r="C1" s="3" t="inlineStr">
        <is>
          <t>Plataformas de Pick/Tipsters</t>
        </is>
      </c>
      <c r="E1" s="3" t="inlineStr">
        <is>
          <t>DEPORTE</t>
        </is>
      </c>
      <c r="G1" s="3" t="inlineStr">
        <is>
          <t>LIVE-PRE</t>
        </is>
      </c>
      <c r="I1" s="3" t="inlineStr">
        <is>
          <t>COMBINADA</t>
        </is>
      </c>
    </row>
    <row r="2">
      <c r="A2" s="3" t="inlineStr">
        <is>
          <t>888</t>
        </is>
      </c>
      <c r="C2" s="3" t="inlineStr">
        <is>
          <t>Blogabet</t>
        </is>
      </c>
      <c r="E2" s="3" t="inlineStr">
        <is>
          <t>Badminton</t>
        </is>
      </c>
      <c r="G2" s="3" t="inlineStr">
        <is>
          <t>PRE</t>
        </is>
      </c>
      <c r="I2" s="3" t="inlineStr">
        <is>
          <t>Si</t>
        </is>
      </c>
    </row>
    <row r="3">
      <c r="A3" s="3" t="inlineStr">
        <is>
          <t>1xBet</t>
        </is>
      </c>
      <c r="C3" s="3" t="inlineStr">
        <is>
          <t>Telegram</t>
        </is>
      </c>
      <c r="E3" s="3" t="inlineStr">
        <is>
          <t>Baloncesto</t>
        </is>
      </c>
      <c r="G3" s="3" t="inlineStr">
        <is>
          <t>LIVE</t>
        </is>
      </c>
      <c r="I3" s="3" t="inlineStr">
        <is>
          <t>No</t>
        </is>
      </c>
    </row>
    <row r="4">
      <c r="A4" s="3" t="inlineStr">
        <is>
          <t>Bet365</t>
        </is>
      </c>
      <c r="C4" s="3" t="inlineStr">
        <is>
          <t>TipsterLand</t>
        </is>
      </c>
      <c r="E4" s="3" t="inlineStr">
        <is>
          <t>Balonmano</t>
        </is>
      </c>
      <c r="I4" s="3" t="inlineStr">
        <is>
          <t>Sí</t>
        </is>
      </c>
    </row>
    <row r="5">
      <c r="A5" s="3" t="inlineStr">
        <is>
          <t>Betfail</t>
        </is>
      </c>
      <c r="E5" s="3" t="inlineStr">
        <is>
          <t>Beisbol</t>
        </is>
      </c>
    </row>
    <row r="6">
      <c r="A6" s="3" t="inlineStr">
        <is>
          <t>Betfair</t>
        </is>
      </c>
      <c r="E6" s="3" t="inlineStr">
        <is>
          <t>Boxeo</t>
        </is>
      </c>
    </row>
    <row r="7">
      <c r="A7" s="3" t="inlineStr">
        <is>
          <t>Betsson</t>
        </is>
      </c>
      <c r="E7" s="3" t="inlineStr">
        <is>
          <t>Ciclismo</t>
        </is>
      </c>
    </row>
    <row r="8">
      <c r="A8" s="3" t="inlineStr">
        <is>
          <t>Bwin</t>
        </is>
      </c>
      <c r="E8" s="3" t="inlineStr">
        <is>
          <t>Esports</t>
        </is>
      </c>
    </row>
    <row r="9">
      <c r="A9" s="3" t="inlineStr">
        <is>
          <t>Codere</t>
        </is>
      </c>
      <c r="E9" s="3" t="inlineStr">
        <is>
          <t>Fútbol</t>
        </is>
      </c>
    </row>
    <row r="10">
      <c r="A10" s="3" t="inlineStr">
        <is>
          <t>Luckia</t>
        </is>
      </c>
      <c r="E10" s="3" t="inlineStr">
        <is>
          <t>Fútbol Americano</t>
        </is>
      </c>
    </row>
    <row r="11">
      <c r="A11" s="3" t="inlineStr">
        <is>
          <t>Marathonbet</t>
        </is>
      </c>
      <c r="E11" s="3" t="inlineStr">
        <is>
          <t>Golf</t>
        </is>
      </c>
    </row>
    <row r="12">
      <c r="A12" s="3" t="inlineStr">
        <is>
          <t>Sportium</t>
        </is>
      </c>
      <c r="E12" s="3" t="inlineStr">
        <is>
          <t>Hockey</t>
        </is>
      </c>
    </row>
    <row r="13">
      <c r="A13" s="3" t="inlineStr">
        <is>
          <t>Winamax</t>
        </is>
      </c>
      <c r="E13" s="3" t="inlineStr">
        <is>
          <t>MMA</t>
        </is>
      </c>
    </row>
    <row r="14">
      <c r="A14" s="3" t="inlineStr">
        <is>
          <t>William Hill</t>
        </is>
      </c>
      <c r="E14" s="3" t="inlineStr">
        <is>
          <t>Tenis</t>
        </is>
      </c>
    </row>
    <row r="15">
      <c r="E15" s="3" t="inlineStr">
        <is>
          <t>Tenis Mesa</t>
        </is>
      </c>
    </row>
    <row r="16">
      <c r="E16" s="3" t="inlineStr">
        <is>
          <t>Voleibol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2025-11-20T01:39:39Z</dcterms:created>
  <dcterms:modified xmlns:dcterms="http://purl.org/dc/terms/" xmlns:xsi="http://www.w3.org/2001/XMLSchema-instance" xsi:type="dcterms:W3CDTF">2025-11-20T01:39:39Z</dcterms:modified>
</cp:coreProperties>
</file>