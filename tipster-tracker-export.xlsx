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anzadas Tipster" sheetId="1" state="visible" r:id="rId1"/>
    <sheet xmlns:r="http://schemas.openxmlformats.org/officeDocument/2006/relationships" name="Realizadas" sheetId="2" state="visible" r:id="rId2"/>
    <sheet xmlns:r="http://schemas.openxmlformats.org/officeDocument/2006/relationships" name="Dashboard General" sheetId="3" state="visible" r:id="rId3"/>
    <sheet xmlns:r="http://schemas.openxmlformats.org/officeDocument/2006/relationships" name="Dashboard Fútbol" sheetId="4" state="visible" r:id="rId4"/>
    <sheet xmlns:r="http://schemas.openxmlformats.org/officeDocument/2006/relationships" name="Dashboard Basket" sheetId="5" state="visible" r:id="rId5"/>
    <sheet xmlns:r="http://schemas.openxmlformats.org/officeDocument/2006/relationships" name="Dashboard Tenis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color theme="1"/>
      <sz val="12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B1" s="1" t="str"/>
      <c r="C1" s="2" t="str"/>
      <c r="D1" s="2" t="str"/>
    </row>
    <row r="2">
      <c r="G2" s="3" t="str"/>
    </row>
    <row r="3">
      <c r="A3" s="4" t="inlineStr">
        <is>
          <t>PLANTILLA EII</t>
        </is>
      </c>
      <c r="F3" s="4" t="inlineStr">
        <is>
          <t>Rellenar con los picks que lanza el tipster</t>
        </is>
      </c>
    </row>
    <row r="4"/>
    <row r="5"/>
    <row r="6" ht="25" customHeight="1">
      <c r="A6" s="5" t="inlineStr">
        <is>
          <t>LIVE/PRE</t>
        </is>
      </c>
      <c r="B6" s="6" t="inlineStr">
        <is>
          <t>TIPSTER</t>
        </is>
      </c>
      <c r="C6" s="6" t="inlineStr">
        <is>
          <t>Partido</t>
        </is>
      </c>
      <c r="D6" s="6" t="inlineStr">
        <is>
          <t>Tipo Apuesta</t>
        </is>
      </c>
      <c r="E6" s="6" t="inlineStr">
        <is>
          <t>Resultado</t>
        </is>
      </c>
      <c r="F6" s="5" t="inlineStr">
        <is>
          <t>Cuota</t>
        </is>
      </c>
      <c r="G6" s="5" t="inlineStr">
        <is>
          <t>Unidades</t>
        </is>
      </c>
      <c r="H6" s="5" t="inlineStr">
        <is>
          <t>Fecha</t>
        </is>
      </c>
      <c r="I6" s="5" t="inlineStr">
        <is>
          <t>Hora</t>
        </is>
      </c>
      <c r="J6" s="5" t="inlineStr">
        <is>
          <t>Bookie</t>
        </is>
      </c>
      <c r="K6" s="5" t="inlineStr">
        <is>
          <t>Liga</t>
        </is>
      </c>
      <c r="L6" s="5" t="inlineStr">
        <is>
          <t>Deporte</t>
        </is>
      </c>
      <c r="M6" s="6" t="inlineStr">
        <is>
          <t>Comentarios</t>
        </is>
      </c>
      <c r="N6" s="5" t="inlineStr">
        <is>
          <t>Seguida</t>
        </is>
      </c>
      <c r="O6" s="5" t="inlineStr">
        <is>
          <t>Fecha Seguida</t>
        </is>
      </c>
      <c r="P6" s="5" t="inlineStr">
        <is>
          <t>Resultado Usuario</t>
        </is>
      </c>
      <c r="Q6" s="5" t="inlineStr">
        <is>
          <t>Profit</t>
        </is>
      </c>
      <c r="R6" s="5" t="inlineStr">
        <is>
          <t>Profit Real</t>
        </is>
      </c>
      <c r="S6" s="5" t="inlineStr">
        <is>
          <t>Bank</t>
        </is>
      </c>
    </row>
    <row r="7">
      <c r="A7" s="7" t="inlineStr">
        <is>
          <t>Pre</t>
        </is>
      </c>
      <c r="B7" s="8" t="inlineStr">
        <is>
          <t>Manolo</t>
        </is>
      </c>
      <c r="C7" s="8" t="inlineStr">
        <is>
          <t>prueba1</t>
        </is>
      </c>
      <c r="D7" s="8" t="inlineStr">
        <is>
          <t>eweew</t>
        </is>
      </c>
      <c r="E7" s="8" t="inlineStr">
        <is>
          <t>Ganada</t>
        </is>
      </c>
      <c r="F7" s="7">
        <f>IF(E7="L",-C7,IF(E7="W",C7*(D7-1),IF(E7="HW",(C7/2)*(D7-1),IF(E7="HL",-C7/2,0))))</f>
        <v/>
      </c>
      <c r="G7" s="7">
        <f>IFERROR(($I$2/VLOOKUP(B7,Tipster_Picks_Dashboard!$A$3:$W$76,2,FALSE))*C7,"")</f>
        <v/>
      </c>
      <c r="H7" s="7">
        <f>IF(E7="w",G7*D7-G7,IF(E7="L",-G7,0))</f>
        <v/>
      </c>
      <c r="I7" s="7" t="inlineStr">
        <is>
          <t>19:14</t>
        </is>
      </c>
      <c r="J7" s="7" t="inlineStr">
        <is>
          <t>Betway</t>
        </is>
      </c>
      <c r="K7" s="9" t="str"/>
      <c r="L7" s="7" t="inlineStr">
        <is>
          <t>Hockey</t>
        </is>
      </c>
      <c r="M7" s="9" t="str"/>
      <c r="N7" s="9" t="str"/>
      <c r="O7" s="9" t="str"/>
      <c r="P7" s="9" t="str"/>
      <c r="Q7" s="9" t="str"/>
      <c r="R7" s="9" t="str"/>
      <c r="S7" s="9" t="str"/>
      <c r="T7" s="9" t="n"/>
    </row>
    <row r="8">
      <c r="A8" s="7" t="inlineStr">
        <is>
          <t>Combinado</t>
        </is>
      </c>
      <c r="B8" s="8" t="inlineStr">
        <is>
          <t>Manolo</t>
        </is>
      </c>
      <c r="C8" s="8" t="inlineStr">
        <is>
          <t>perdiddd</t>
        </is>
      </c>
      <c r="D8" s="8" t="inlineStr">
        <is>
          <t>fdfsdfdf</t>
        </is>
      </c>
      <c r="E8" s="8" t="inlineStr">
        <is>
          <t>Perdida</t>
        </is>
      </c>
      <c r="F8" s="7">
        <f>IF(E8="L",-C8,IF(E8="W",C8*(D8-1),IF(E8="HW",(C8/2)*(D8-1),IF(E8="HL",-C8/2,0))))</f>
        <v/>
      </c>
      <c r="G8" s="7">
        <f>IFERROR(($I$2/VLOOKUP(B8,Tipster_Picks_Dashboard!$A$3:$W$76,2,FALSE))*C8,"")</f>
        <v/>
      </c>
      <c r="H8" s="7">
        <f>IF(E8="w",G8*D8-G8,IF(E8="L",-G8,0))</f>
        <v/>
      </c>
      <c r="I8" s="7" t="inlineStr">
        <is>
          <t>20:18</t>
        </is>
      </c>
      <c r="J8" s="7" t="inlineStr">
        <is>
          <t>Pastón</t>
        </is>
      </c>
      <c r="K8" s="9" t="str"/>
      <c r="L8" s="7" t="inlineStr">
        <is>
          <t>Baloncesto</t>
        </is>
      </c>
      <c r="M8" s="9" t="str"/>
      <c r="N8" s="9" t="str"/>
      <c r="O8" s="9" t="str"/>
      <c r="P8" s="9" t="str"/>
      <c r="Q8" s="9" t="str"/>
      <c r="R8" s="9" t="str"/>
      <c r="S8" s="9" t="str"/>
      <c r="T8" s="9" t="n"/>
    </row>
    <row r="9">
      <c r="A9" s="7" t="inlineStr">
        <is>
          <t>Pre</t>
        </is>
      </c>
      <c r="B9" s="8" t="inlineStr">
        <is>
          <t>Manolo</t>
        </is>
      </c>
      <c r="C9" s="8" t="inlineStr">
        <is>
          <t>teste</t>
        </is>
      </c>
      <c r="D9" s="8" t="inlineStr">
        <is>
          <t>dsdas</t>
        </is>
      </c>
      <c r="E9" s="8" t="inlineStr">
        <is>
          <t>Pendiente</t>
        </is>
      </c>
      <c r="F9" s="7">
        <f>IF(E9="L",-C9,IF(E9="W",C9*(D9-1),IF(E9="HW",(C9/2)*(D9-1),IF(E9="HL",-C9/2,0))))</f>
        <v/>
      </c>
      <c r="G9" s="7">
        <f>IFERROR(($I$2/VLOOKUP(B9,Tipster_Picks_Dashboard!$A$3:$W$76,2,FALSE))*C9,"")</f>
        <v/>
      </c>
      <c r="H9" s="7">
        <f>IF(E9="w",G9*D9-G9,IF(E9="L",-G9,0))</f>
        <v/>
      </c>
      <c r="I9" s="7" t="inlineStr">
        <is>
          <t>20:07</t>
        </is>
      </c>
      <c r="J9" s="7" t="inlineStr">
        <is>
          <t>LeoVegas</t>
        </is>
      </c>
      <c r="K9" s="9" t="str"/>
      <c r="L9" s="7" t="inlineStr">
        <is>
          <t>Baloncesto</t>
        </is>
      </c>
      <c r="M9" s="9" t="str"/>
      <c r="N9" s="9" t="str"/>
      <c r="O9" s="9" t="str"/>
      <c r="P9" s="9" t="str"/>
      <c r="Q9" s="9" t="str"/>
      <c r="R9" s="9" t="str"/>
      <c r="S9" s="9" t="str"/>
      <c r="T9" s="9" t="n"/>
    </row>
    <row r="10">
      <c r="A10" s="7" t="inlineStr">
        <is>
          <t>Live</t>
        </is>
      </c>
      <c r="B10" s="8" t="inlineStr">
        <is>
          <t>Manolo</t>
        </is>
      </c>
      <c r="C10" s="8" t="inlineStr">
        <is>
          <t>madrid</t>
        </is>
      </c>
      <c r="D10" s="8" t="inlineStr">
        <is>
          <t>dsds</t>
        </is>
      </c>
      <c r="E10" s="8" t="inlineStr">
        <is>
          <t>Ganada</t>
        </is>
      </c>
      <c r="F10" s="7">
        <f>IF(E10="L",-C10,IF(E10="W",C10*(D10-1),IF(E10="HW",(C10/2)*(D10-1),IF(E10="HL",-C10/2,0))))</f>
        <v/>
      </c>
      <c r="G10" s="7">
        <f>IFERROR(($I$2/VLOOKUP(B10,Tipster_Picks_Dashboard!$A$3:$W$76,2,FALSE))*C10,"")</f>
        <v/>
      </c>
      <c r="H10" s="7">
        <f>IF(E10="w",G10*D10-G10,IF(E10="L",-G10,0))</f>
        <v/>
      </c>
      <c r="I10" s="7" t="inlineStr">
        <is>
          <t>19:58</t>
        </is>
      </c>
      <c r="J10" s="7" t="inlineStr">
        <is>
          <t>Olybet</t>
        </is>
      </c>
      <c r="K10" s="9" t="str"/>
      <c r="L10" s="7" t="inlineStr">
        <is>
          <t>Fútbol</t>
        </is>
      </c>
      <c r="M10" s="9" t="str"/>
      <c r="N10" s="9" t="str"/>
      <c r="O10" s="9" t="str"/>
      <c r="P10" s="9" t="str"/>
      <c r="Q10" s="9" t="str"/>
      <c r="R10" s="9" t="str"/>
      <c r="S10" s="9" t="str"/>
      <c r="T10" s="9" t="n"/>
    </row>
    <row r="11">
      <c r="A11" s="7" t="inlineStr">
        <is>
          <t>Combinado</t>
        </is>
      </c>
      <c r="B11" s="8" t="inlineStr">
        <is>
          <t>Manolo</t>
        </is>
      </c>
      <c r="C11" s="8" t="inlineStr">
        <is>
          <t>sasasASA</t>
        </is>
      </c>
      <c r="D11" s="8" t="inlineStr">
        <is>
          <t>ASASa</t>
        </is>
      </c>
      <c r="E11" s="8" t="inlineStr">
        <is>
          <t>Perdida</t>
        </is>
      </c>
      <c r="F11" s="7" t="n">
        <v>2</v>
      </c>
      <c r="G11" s="7" t="n">
        <v>2</v>
      </c>
      <c r="H11" s="7" t="inlineStr">
        <is>
          <t>2025-11-17</t>
        </is>
      </c>
      <c r="I11" s="7" t="inlineStr">
        <is>
          <t>19:34</t>
        </is>
      </c>
      <c r="J11" s="7" t="inlineStr">
        <is>
          <t>1xBet</t>
        </is>
      </c>
      <c r="K11" s="9" t="str"/>
      <c r="L11" s="7" t="inlineStr">
        <is>
          <t>Baloncesto</t>
        </is>
      </c>
      <c r="M11" s="9" t="str"/>
      <c r="N11" s="9" t="str"/>
      <c r="O11" s="9" t="str"/>
      <c r="P11" s="9" t="str"/>
      <c r="Q11" s="9" t="str"/>
      <c r="R11" s="9" t="str"/>
      <c r="S11" s="9" t="str"/>
      <c r="T11" s="9" t="n"/>
    </row>
    <row r="12">
      <c r="A12" s="7" t="inlineStr">
        <is>
          <t>Pre</t>
        </is>
      </c>
      <c r="B12" s="8" t="inlineStr">
        <is>
          <t>Manolo</t>
        </is>
      </c>
      <c r="C12" s="8" t="inlineStr">
        <is>
          <t>dsdsadas</t>
        </is>
      </c>
      <c r="D12" s="8" t="inlineStr">
        <is>
          <t>dsads</t>
        </is>
      </c>
      <c r="E12" s="8" t="inlineStr">
        <is>
          <t>Perdida</t>
        </is>
      </c>
      <c r="F12" s="7" t="n">
        <v>5</v>
      </c>
      <c r="G12" s="7" t="n">
        <v>5</v>
      </c>
      <c r="H12" s="7" t="inlineStr">
        <is>
          <t>2025-11-17</t>
        </is>
      </c>
      <c r="I12" s="7" t="inlineStr">
        <is>
          <t>19:02</t>
        </is>
      </c>
      <c r="J12" s="7" t="inlineStr">
        <is>
          <t>Bet365</t>
        </is>
      </c>
      <c r="K12" s="9" t="str"/>
      <c r="L12" s="7" t="inlineStr">
        <is>
          <t>Fútbol Americano</t>
        </is>
      </c>
      <c r="M12" s="9" t="str"/>
      <c r="N12" s="9" t="str"/>
      <c r="O12" s="9" t="str"/>
      <c r="P12" s="9" t="str"/>
      <c r="Q12" s="9" t="str"/>
      <c r="R12" s="9" t="str"/>
      <c r="S12" s="9" t="str"/>
      <c r="T12" s="9" t="n"/>
    </row>
    <row r="13">
      <c r="A13" s="7" t="inlineStr">
        <is>
          <t>Pre</t>
        </is>
      </c>
      <c r="B13" s="8" t="inlineStr">
        <is>
          <t>Manolo</t>
        </is>
      </c>
      <c r="C13" s="8" t="inlineStr">
        <is>
          <t>yesss</t>
        </is>
      </c>
      <c r="D13" s="8" t="inlineStr">
        <is>
          <t>2</t>
        </is>
      </c>
      <c r="E13" s="8" t="inlineStr">
        <is>
          <t>Pendiente</t>
        </is>
      </c>
      <c r="F13" s="7" t="n">
        <v>2</v>
      </c>
      <c r="G13" s="7" t="n">
        <v>2</v>
      </c>
      <c r="H13" s="7" t="inlineStr">
        <is>
          <t>2025-11-17</t>
        </is>
      </c>
      <c r="I13" s="7" t="inlineStr">
        <is>
          <t>00:31</t>
        </is>
      </c>
      <c r="J13" s="7" t="inlineStr">
        <is>
          <t>TonyBet</t>
        </is>
      </c>
      <c r="K13" s="9" t="str"/>
      <c r="L13" s="7" t="inlineStr">
        <is>
          <t>Fútbol</t>
        </is>
      </c>
      <c r="M13" s="9" t="str"/>
      <c r="N13" s="9" t="str"/>
      <c r="O13" s="9" t="str"/>
      <c r="P13" s="9" t="str"/>
      <c r="Q13" s="9" t="str"/>
      <c r="R13" s="9" t="str"/>
      <c r="S13" s="9" t="str"/>
      <c r="T13" s="9" t="n"/>
    </row>
    <row r="14">
      <c r="A14" s="7" t="inlineStr">
        <is>
          <t>Pre</t>
        </is>
      </c>
      <c r="B14" s="8" t="inlineStr">
        <is>
          <t>Manolo</t>
        </is>
      </c>
      <c r="C14" s="8" t="inlineStr">
        <is>
          <t>rest</t>
        </is>
      </c>
      <c r="D14" s="8" t="inlineStr">
        <is>
          <t>reweerw</t>
        </is>
      </c>
      <c r="E14" s="8" t="inlineStr">
        <is>
          <t>Ganada</t>
        </is>
      </c>
      <c r="F14" s="7" t="n">
        <v>5</v>
      </c>
      <c r="G14" s="7" t="n">
        <v>2</v>
      </c>
      <c r="H14" s="7" t="inlineStr">
        <is>
          <t>2025-11-17</t>
        </is>
      </c>
      <c r="I14" s="7" t="inlineStr">
        <is>
          <t>00:22</t>
        </is>
      </c>
      <c r="J14" s="7" t="inlineStr">
        <is>
          <t>Betsson</t>
        </is>
      </c>
      <c r="K14" s="9" t="str"/>
      <c r="L14" s="7" t="inlineStr">
        <is>
          <t>Hockey</t>
        </is>
      </c>
      <c r="M14" s="9" t="str"/>
      <c r="N14" s="9" t="str"/>
      <c r="O14" s="9" t="str"/>
      <c r="P14" s="9" t="str"/>
      <c r="Q14" s="9" t="str"/>
      <c r="R14" s="9" t="str"/>
      <c r="S14" s="9" t="str"/>
      <c r="T14" s="9" t="n"/>
    </row>
    <row r="15">
      <c r="A15" s="7" t="inlineStr">
        <is>
          <t>Pre</t>
        </is>
      </c>
      <c r="B15" s="8" t="inlineStr">
        <is>
          <t>Manolo</t>
        </is>
      </c>
      <c r="C15" s="8" t="inlineStr">
        <is>
          <t>Madrid-barsa</t>
        </is>
      </c>
      <c r="D15" s="8" t="inlineStr">
        <is>
          <t>fsdfdffsdf</t>
        </is>
      </c>
      <c r="E15" s="8" t="inlineStr">
        <is>
          <t>Ganada</t>
        </is>
      </c>
      <c r="F15" s="7" t="n">
        <v>2</v>
      </c>
      <c r="G15" s="7" t="n">
        <v>3</v>
      </c>
      <c r="H15" s="7" t="inlineStr">
        <is>
          <t>2025-11-13</t>
        </is>
      </c>
      <c r="I15" s="7" t="inlineStr">
        <is>
          <t>16:18</t>
        </is>
      </c>
      <c r="J15" s="7" t="inlineStr">
        <is>
          <t>1xBet</t>
        </is>
      </c>
      <c r="K15" s="9" t="str"/>
      <c r="L15" s="7" t="inlineStr">
        <is>
          <t>Fútbol</t>
        </is>
      </c>
      <c r="M15" s="9" t="str"/>
      <c r="N15" s="9" t="str"/>
      <c r="O15" s="9" t="str"/>
      <c r="P15" s="9" t="str"/>
      <c r="Q15" s="9" t="str"/>
      <c r="R15" s="9" t="str"/>
      <c r="S15" s="9" t="str"/>
      <c r="T15" s="9" t="n"/>
    </row>
    <row r="16">
      <c r="A16" s="9" t="n"/>
      <c r="B16" s="10" t="n"/>
      <c r="C16" s="10" t="n"/>
      <c r="D16" s="10" t="n"/>
      <c r="E16" s="10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10" t="n"/>
      <c r="C17" s="10" t="n"/>
      <c r="D17" s="10" t="n"/>
      <c r="E17" s="10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10" t="n"/>
      <c r="C18" s="10" t="n"/>
      <c r="D18" s="10" t="n"/>
      <c r="E18" s="10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10" t="n"/>
      <c r="C19" s="10" t="n"/>
      <c r="D19" s="10" t="n"/>
      <c r="E19" s="10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10" t="n"/>
      <c r="C20" s="10" t="n"/>
      <c r="D20" s="10" t="n"/>
      <c r="E20" s="10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10" t="n"/>
      <c r="C21" s="10" t="n"/>
      <c r="D21" s="10" t="n"/>
      <c r="E21" s="10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10" t="n"/>
      <c r="C22" s="10" t="n"/>
      <c r="D22" s="10" t="n"/>
      <c r="E22" s="10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A23" s="9" t="n"/>
      <c r="B23" s="10" t="n"/>
      <c r="C23" s="10" t="n"/>
      <c r="D23" s="10" t="n"/>
      <c r="E23" s="10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A24" s="9" t="n"/>
      <c r="B24" s="10" t="n"/>
      <c r="C24" s="10" t="n"/>
      <c r="D24" s="10" t="n"/>
      <c r="E24" s="10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A25" s="9" t="n"/>
      <c r="B25" s="10" t="n"/>
      <c r="C25" s="10" t="n"/>
      <c r="D25" s="10" t="n"/>
      <c r="E25" s="10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>
      <c r="A26" s="9" t="n"/>
      <c r="B26" s="10" t="n"/>
      <c r="C26" s="10" t="n"/>
      <c r="D26" s="10" t="n"/>
      <c r="E26" s="10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A27" s="9" t="n"/>
      <c r="B27" s="10" t="n"/>
      <c r="C27" s="10" t="n"/>
      <c r="D27" s="10" t="n"/>
      <c r="E27" s="10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</row>
    <row r="28">
      <c r="A28" s="9" t="n"/>
      <c r="B28" s="10" t="n"/>
      <c r="C28" s="10" t="n"/>
      <c r="D28" s="10" t="n"/>
      <c r="E28" s="10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A29" s="9" t="n"/>
      <c r="B29" s="10" t="n"/>
      <c r="C29" s="10" t="n"/>
      <c r="D29" s="10" t="n"/>
      <c r="E29" s="10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A30" s="9" t="n"/>
      <c r="B30" s="10" t="n"/>
      <c r="C30" s="10" t="n"/>
      <c r="D30" s="10" t="n"/>
      <c r="E30" s="10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A31" s="9" t="n"/>
      <c r="B31" s="10" t="n"/>
      <c r="C31" s="10" t="n"/>
      <c r="D31" s="10" t="n"/>
      <c r="E31" s="10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</row>
    <row r="32">
      <c r="A32" s="9" t="n"/>
      <c r="B32" s="10" t="n"/>
      <c r="C32" s="10" t="n"/>
      <c r="D32" s="10" t="n"/>
      <c r="E32" s="10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A33" s="9" t="n"/>
      <c r="B33" s="10" t="n"/>
      <c r="C33" s="10" t="n"/>
      <c r="D33" s="10" t="n"/>
      <c r="E33" s="10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</row>
    <row r="34">
      <c r="A34" s="9" t="n"/>
      <c r="B34" s="10" t="n"/>
      <c r="C34" s="10" t="n"/>
      <c r="D34" s="10" t="n"/>
      <c r="E34" s="10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A35" s="9" t="n"/>
      <c r="B35" s="10" t="n"/>
      <c r="C35" s="10" t="n"/>
      <c r="D35" s="10" t="n"/>
      <c r="E35" s="10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A36" s="9" t="n"/>
      <c r="B36" s="10" t="n"/>
      <c r="C36" s="10" t="n"/>
      <c r="D36" s="10" t="n"/>
      <c r="E36" s="10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A37" s="9" t="n"/>
      <c r="B37" s="10" t="n"/>
      <c r="C37" s="10" t="n"/>
      <c r="D37" s="10" t="n"/>
      <c r="E37" s="10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A38" s="9" t="n"/>
      <c r="B38" s="10" t="n"/>
      <c r="C38" s="10" t="n"/>
      <c r="D38" s="10" t="n"/>
      <c r="E38" s="10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A39" s="9" t="n"/>
      <c r="B39" s="10" t="n"/>
      <c r="C39" s="10" t="n"/>
      <c r="D39" s="10" t="n"/>
      <c r="E39" s="10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9" t="n"/>
      <c r="B40" s="10" t="n"/>
      <c r="C40" s="10" t="n"/>
      <c r="D40" s="10" t="n"/>
      <c r="E40" s="10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</row>
    <row r="41">
      <c r="A41" s="9" t="n"/>
      <c r="B41" s="10" t="n"/>
      <c r="C41" s="10" t="n"/>
      <c r="D41" s="10" t="n"/>
      <c r="E41" s="10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>
      <c r="A42" s="9" t="n"/>
      <c r="B42" s="10" t="n"/>
      <c r="C42" s="10" t="n"/>
      <c r="D42" s="10" t="n"/>
      <c r="E42" s="10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</row>
    <row r="43">
      <c r="A43" s="9" t="n"/>
      <c r="B43" s="10" t="n"/>
      <c r="C43" s="10" t="n"/>
      <c r="D43" s="10" t="n"/>
      <c r="E43" s="10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</row>
    <row r="44">
      <c r="A44" s="9" t="n"/>
      <c r="B44" s="10" t="n"/>
      <c r="C44" s="10" t="n"/>
      <c r="D44" s="10" t="n"/>
      <c r="E44" s="10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</row>
    <row r="45">
      <c r="A45" s="9" t="n"/>
      <c r="B45" s="10" t="n"/>
      <c r="C45" s="10" t="n"/>
      <c r="D45" s="10" t="n"/>
      <c r="E45" s="10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</row>
    <row r="46">
      <c r="A46" s="9" t="n"/>
      <c r="B46" s="10" t="n"/>
      <c r="C46" s="10" t="n"/>
      <c r="D46" s="10" t="n"/>
      <c r="E46" s="10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</row>
    <row r="47">
      <c r="A47" s="9" t="n"/>
      <c r="B47" s="10" t="n"/>
      <c r="C47" s="10" t="n"/>
      <c r="D47" s="10" t="n"/>
      <c r="E47" s="10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</row>
    <row r="48">
      <c r="A48" s="9" t="n"/>
      <c r="B48" s="10" t="n"/>
      <c r="C48" s="10" t="n"/>
      <c r="D48" s="10" t="n"/>
      <c r="E48" s="10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</row>
    <row r="49">
      <c r="A49" s="9" t="n"/>
      <c r="B49" s="10" t="n"/>
      <c r="C49" s="10" t="n"/>
      <c r="D49" s="10" t="n"/>
      <c r="E49" s="10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A50" s="9" t="n"/>
      <c r="B50" s="10" t="n"/>
      <c r="C50" s="10" t="n"/>
      <c r="D50" s="10" t="n"/>
      <c r="E50" s="10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</row>
  </sheetData>
  <mergeCells count="2">
    <mergeCell ref="F3:T5"/>
    <mergeCell ref="A3:E5"/>
  </mergeCells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7:E50">
    <cfRule type="cellIs" priority="9" operator="equal" dxfId="0">
      <formula>"L"</formula>
    </cfRule>
    <cfRule type="cellIs" priority="10" operator="equal" dxfId="1">
      <formula>"W"</formula>
    </cfRule>
  </conditionalFormatting>
  <dataValidations count="7">
    <dataValidation sqref="A7:A1853" showDropDown="0" showInputMessage="0" showErrorMessage="0" allowBlank="1" errorTitle="Valor no válido" error="Selecciona: PRE, LIVE o Combinado" type="list">
      <formula1>'Base datos'!$G$2:$G$4</formula1>
    </dataValidation>
    <dataValidation sqref="B7:B1853" showDropDown="0" showInputMessage="0" showErrorMessage="0" allowBlank="1" errorTitle="Tipster no válido" error="Selecciona un tipster de la lista" type="list">
      <formula1>Tipster_Picks_Dashboard!$A$3:$A$100</formula1>
    </dataValidation>
    <dataValidation sqref="E7:E1853" showDropDown="0" showInputMessage="0" showErrorMessage="0" allowBlank="1" errorTitle="Resultado no válido" error="Selecciona: W (Win), L (Loss), V (Void), HW (Half Win), HL (Half Loss)" type="list">
      <formula1>"W,L,V,HW,HL"</formula1>
    </dataValidation>
    <dataValidation sqref="P7:P1853" showDropDown="0" showInputMessage="0" showErrorMessage="0" allowBlank="1" errorTitle="Valor no válido" error="Selecciona: Si o No" type="list">
      <formula1>'Base datos'!$I$2:$I$4</formula1>
    </dataValidation>
    <dataValidation sqref="Q7:Q1853" showDropDown="0" showInputMessage="0" showErrorMessage="0" allowBlank="1" errorTitle="Deporte no válido" error="Selecciona un deporte de la lista" type="list">
      <formula1>'Base datos'!$E$2:$E$20</formula1>
    </dataValidation>
    <dataValidation sqref="R7:R1853" showDropDown="0" showInputMessage="0" showErrorMessage="0" allowBlank="1" errorTitle="Plataforma no válida" error="Selecciona una plataforma de la lista" type="list">
      <formula1>'Base datos'!$C$2:$C$20</formula1>
    </dataValidation>
    <dataValidation sqref="S7:S1853" showDropDown="0" showInputMessage="0" showErrorMessage="0" allowBlank="1" errorTitle="Bookmaker no válido" error="Selecciona un bookmaker de la lista" type="list">
      <formula1>'Base datos'!$A$2:$A$30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B1" s="1" t="str"/>
      <c r="C1" s="2" t="str"/>
      <c r="D1" s="2" t="str"/>
    </row>
    <row r="2">
      <c r="G2" s="3" t="str"/>
    </row>
    <row r="3">
      <c r="A3" s="4" t="inlineStr">
        <is>
          <t>PLANTILLA EII</t>
        </is>
      </c>
      <c r="F3" s="4" t="inlineStr">
        <is>
          <t>Rellenar con los picks que lanza el tipster</t>
        </is>
      </c>
    </row>
    <row r="4"/>
    <row r="5"/>
    <row r="6" ht="25" customHeight="1">
      <c r="A6" s="5" t="inlineStr">
        <is>
          <t>LIVE/PRE</t>
        </is>
      </c>
      <c r="B6" s="6" t="inlineStr">
        <is>
          <t>TIPSTER</t>
        </is>
      </c>
      <c r="C6" s="6" t="inlineStr">
        <is>
          <t>Stake (UDS)</t>
        </is>
      </c>
      <c r="D6" s="6" t="inlineStr">
        <is>
          <t>Odds (Cuota)</t>
        </is>
      </c>
      <c r="E6" s="6" t="inlineStr">
        <is>
          <t>Resultado (W/L/V)</t>
        </is>
      </c>
      <c r="F6" s="5" t="inlineStr">
        <is>
          <t>Beneficio</t>
        </is>
      </c>
      <c r="G6" s="5" t="inlineStr">
        <is>
          <t>Unidades Apostadas</t>
        </is>
      </c>
      <c r="H6" s="5" t="inlineStr">
        <is>
          <t>Beneficio Real</t>
        </is>
      </c>
      <c r="I6" s="5" t="inlineStr">
        <is>
          <t>Bank Inicial</t>
        </is>
      </c>
      <c r="J6" s="5" t="inlineStr">
        <is>
          <t>Apostado</t>
        </is>
      </c>
      <c r="K6" s="5" t="inlineStr">
        <is>
          <t>Fecha</t>
        </is>
      </c>
      <c r="L6" s="5" t="inlineStr">
        <is>
          <t>Hora</t>
        </is>
      </c>
      <c r="M6" s="6" t="inlineStr">
        <is>
          <t>Partido</t>
        </is>
      </c>
      <c r="N6" s="5" t="inlineStr">
        <is>
          <t>Apuesta</t>
        </is>
      </c>
      <c r="O6" s="5" t="inlineStr">
        <is>
          <t>Bookie</t>
        </is>
      </c>
      <c r="P6" s="5" t="inlineStr">
        <is>
          <t>Liga</t>
        </is>
      </c>
      <c r="Q6" s="5" t="inlineStr">
        <is>
          <t>Deporte</t>
        </is>
      </c>
      <c r="R6" s="5" t="inlineStr">
        <is>
          <t>Comentarios</t>
        </is>
      </c>
      <c r="S6" s="5" t="inlineStr">
        <is>
          <t>Match/Diverge</t>
        </is>
      </c>
      <c r="T6" s="5" t="inlineStr">
        <is>
          <t>Profit Tipster</t>
        </is>
      </c>
    </row>
    <row r="7">
      <c r="A7" s="7" t="inlineStr">
        <is>
          <t>Pre</t>
        </is>
      </c>
      <c r="B7" s="8" t="inlineStr">
        <is>
          <t>Manolo</t>
        </is>
      </c>
      <c r="C7" s="8" t="n">
        <v>3</v>
      </c>
      <c r="D7" s="8" t="n">
        <v>3</v>
      </c>
      <c r="E7" s="8" t="inlineStr">
        <is>
          <t>PENDIENTE</t>
        </is>
      </c>
      <c r="F7" s="7">
        <f>IF(E7="L",-C7,IF(E7="W",C7*(D7-1),IF(E7="HW",(C7/2)*(D7-1),IF(E7="HL",-C7/2,0))))</f>
        <v/>
      </c>
      <c r="G7" s="7">
        <f>IFERROR(($I$2/VLOOKUP(B7,Tipster_Picks_Dashboard!$A$3:$W$76,2,FALSE))*C7,"")</f>
        <v/>
      </c>
      <c r="H7" s="7">
        <f>IF(E7="w",G7*D7-G7,IF(E7="L",-G7,0))</f>
        <v/>
      </c>
      <c r="I7" s="9" t="str"/>
      <c r="J7" s="9" t="str"/>
      <c r="K7" s="7" t="inlineStr">
        <is>
          <t>2025-11-18</t>
        </is>
      </c>
      <c r="L7" s="7" t="inlineStr">
        <is>
          <t>10:09</t>
        </is>
      </c>
      <c r="M7" s="7" t="inlineStr">
        <is>
          <t>teste</t>
        </is>
      </c>
      <c r="N7" s="7" t="inlineStr">
        <is>
          <t>dsdas</t>
        </is>
      </c>
      <c r="O7" s="7" t="inlineStr">
        <is>
          <t>LeoVegas</t>
        </is>
      </c>
      <c r="P7" s="9" t="str"/>
      <c r="Q7" s="7" t="inlineStr">
        <is>
          <t>Baloncesto</t>
        </is>
      </c>
      <c r="R7" s="9" t="str"/>
      <c r="S7" s="7" t="inlineStr">
        <is>
          <t>MATCH</t>
        </is>
      </c>
      <c r="T7" s="9" t="str"/>
    </row>
    <row r="8">
      <c r="A8" s="7" t="inlineStr">
        <is>
          <t>Pre</t>
        </is>
      </c>
      <c r="B8" s="8" t="inlineStr">
        <is>
          <t>Manolo</t>
        </is>
      </c>
      <c r="C8" s="8" t="n">
        <v>3</v>
      </c>
      <c r="D8" s="8" t="n">
        <v>1.5</v>
      </c>
      <c r="E8" s="8" t="inlineStr">
        <is>
          <t>GANADA</t>
        </is>
      </c>
      <c r="F8" s="7">
        <f>IF(E8="L",-C8,IF(E8="W",C8*(D8-1),IF(E8="HW",(C8/2)*(D8-1),IF(E8="HL",-C8/2,0))))</f>
        <v/>
      </c>
      <c r="G8" s="7">
        <f>IFERROR(($I$2/VLOOKUP(B8,Tipster_Picks_Dashboard!$A$3:$W$76,2,FALSE))*C8,"")</f>
        <v/>
      </c>
      <c r="H8" s="7">
        <f>IF(E8="w",G8*D8-G8,IF(E8="L",-G8,0))</f>
        <v/>
      </c>
      <c r="I8" s="9" t="str"/>
      <c r="J8" s="9" t="str"/>
      <c r="K8" s="7" t="inlineStr">
        <is>
          <t>2025-11-13</t>
        </is>
      </c>
      <c r="L8" s="7" t="inlineStr">
        <is>
          <t>16:22</t>
        </is>
      </c>
      <c r="M8" s="7" t="inlineStr">
        <is>
          <t>Madrid-barsa</t>
        </is>
      </c>
      <c r="N8" s="7" t="inlineStr">
        <is>
          <t>fsdfdffsdf</t>
        </is>
      </c>
      <c r="O8" s="7" t="inlineStr">
        <is>
          <t>Winamax</t>
        </is>
      </c>
      <c r="P8" s="9" t="str"/>
      <c r="Q8" s="7" t="inlineStr">
        <is>
          <t>Fútbol</t>
        </is>
      </c>
      <c r="R8" s="9" t="str"/>
      <c r="S8" s="7" t="inlineStr">
        <is>
          <t>MATCH</t>
        </is>
      </c>
      <c r="T8" s="9" t="str"/>
    </row>
    <row r="9">
      <c r="A9" s="7" t="inlineStr">
        <is>
          <t>Live</t>
        </is>
      </c>
      <c r="B9" s="8" t="inlineStr">
        <is>
          <t>Manolo</t>
        </is>
      </c>
      <c r="C9" s="8" t="n">
        <v>1</v>
      </c>
      <c r="D9" s="8" t="n">
        <v>1.5</v>
      </c>
      <c r="E9" s="8" t="inlineStr">
        <is>
          <t>GANADA</t>
        </is>
      </c>
      <c r="F9" s="7">
        <f>IF(E9="L",-C9,IF(E9="W",C9*(D9-1),IF(E9="HW",(C9/2)*(D9-1),IF(E9="HL",-C9/2,0))))</f>
        <v/>
      </c>
      <c r="G9" s="7">
        <f>IFERROR(($I$2/VLOOKUP(B9,Tipster_Picks_Dashboard!$A$3:$W$76,2,FALSE))*C9,"")</f>
        <v/>
      </c>
      <c r="H9" s="7">
        <f>IF(E9="w",G9*D9-G9,IF(E9="L",-G9,0))</f>
        <v/>
      </c>
      <c r="I9" s="9" t="str"/>
      <c r="J9" s="9" t="str"/>
      <c r="K9" s="7" t="inlineStr">
        <is>
          <t>2025-11-07</t>
        </is>
      </c>
      <c r="L9" s="7" t="inlineStr">
        <is>
          <t>14:31</t>
        </is>
      </c>
      <c r="M9" s="7" t="inlineStr">
        <is>
          <t>madrid</t>
        </is>
      </c>
      <c r="N9" s="7" t="inlineStr">
        <is>
          <t>Marsa</t>
        </is>
      </c>
      <c r="O9" s="7" t="inlineStr">
        <is>
          <t>Bet365</t>
        </is>
      </c>
      <c r="P9" s="9" t="str"/>
      <c r="Q9" s="7" t="inlineStr">
        <is>
          <t>Fútbol</t>
        </is>
      </c>
      <c r="R9" s="9" t="str"/>
      <c r="S9" s="7" t="inlineStr">
        <is>
          <t>MATCH</t>
        </is>
      </c>
      <c r="T9" s="9" t="str"/>
    </row>
    <row r="10">
      <c r="A10" s="9" t="n"/>
      <c r="B10" s="10" t="n"/>
      <c r="C10" s="10" t="n"/>
      <c r="D10" s="10" t="n"/>
      <c r="E10" s="10" t="n"/>
      <c r="F10" s="7">
        <f>IF(E10="L",-C10,IF(E10="W",C10*(D10-1),IF(E10="HW",(C10/2)*(D10-1),IF(E10="HL",-C10/2,0))))</f>
        <v/>
      </c>
      <c r="G10" s="7">
        <f>IFERROR(($I$2/VLOOKUP(B10,Tipster_Picks_Dashboard!$A$3:$W$76,2,FALSE))*C10,"")</f>
        <v/>
      </c>
      <c r="H10" s="7">
        <f>IF(E10="w",G10*D10-G10,IF(E10="L",-G10,0))</f>
        <v/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10" t="n"/>
      <c r="C11" s="10" t="n"/>
      <c r="D11" s="10" t="n"/>
      <c r="E11" s="10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10" t="n"/>
      <c r="C12" s="10" t="n"/>
      <c r="D12" s="10" t="n"/>
      <c r="E12" s="10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10" t="n"/>
      <c r="C13" s="10" t="n"/>
      <c r="D13" s="10" t="n"/>
      <c r="E13" s="10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10" t="n"/>
      <c r="C14" s="10" t="n"/>
      <c r="D14" s="10" t="n"/>
      <c r="E14" s="10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10" t="n"/>
      <c r="C15" s="10" t="n"/>
      <c r="D15" s="10" t="n"/>
      <c r="E15" s="10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10" t="n"/>
      <c r="C16" s="10" t="n"/>
      <c r="D16" s="10" t="n"/>
      <c r="E16" s="10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10" t="n"/>
      <c r="C17" s="10" t="n"/>
      <c r="D17" s="10" t="n"/>
      <c r="E17" s="10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10" t="n"/>
      <c r="C18" s="10" t="n"/>
      <c r="D18" s="10" t="n"/>
      <c r="E18" s="10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10" t="n"/>
      <c r="C19" s="10" t="n"/>
      <c r="D19" s="10" t="n"/>
      <c r="E19" s="10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10" t="n"/>
      <c r="C20" s="10" t="n"/>
      <c r="D20" s="10" t="n"/>
      <c r="E20" s="10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10" t="n"/>
      <c r="C21" s="10" t="n"/>
      <c r="D21" s="10" t="n"/>
      <c r="E21" s="10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10" t="n"/>
      <c r="C22" s="10" t="n"/>
      <c r="D22" s="10" t="n"/>
      <c r="E22" s="10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A23" s="9" t="n"/>
      <c r="B23" s="10" t="n"/>
      <c r="C23" s="10" t="n"/>
      <c r="D23" s="10" t="n"/>
      <c r="E23" s="10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A24" s="9" t="n"/>
      <c r="B24" s="10" t="n"/>
      <c r="C24" s="10" t="n"/>
      <c r="D24" s="10" t="n"/>
      <c r="E24" s="10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A25" s="9" t="n"/>
      <c r="B25" s="10" t="n"/>
      <c r="C25" s="10" t="n"/>
      <c r="D25" s="10" t="n"/>
      <c r="E25" s="10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>
      <c r="A26" s="9" t="n"/>
      <c r="B26" s="10" t="n"/>
      <c r="C26" s="10" t="n"/>
      <c r="D26" s="10" t="n"/>
      <c r="E26" s="10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A27" s="9" t="n"/>
      <c r="B27" s="10" t="n"/>
      <c r="C27" s="10" t="n"/>
      <c r="D27" s="10" t="n"/>
      <c r="E27" s="10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</row>
    <row r="28">
      <c r="A28" s="9" t="n"/>
      <c r="B28" s="10" t="n"/>
      <c r="C28" s="10" t="n"/>
      <c r="D28" s="10" t="n"/>
      <c r="E28" s="10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A29" s="9" t="n"/>
      <c r="B29" s="10" t="n"/>
      <c r="C29" s="10" t="n"/>
      <c r="D29" s="10" t="n"/>
      <c r="E29" s="10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A30" s="9" t="n"/>
      <c r="B30" s="10" t="n"/>
      <c r="C30" s="10" t="n"/>
      <c r="D30" s="10" t="n"/>
      <c r="E30" s="10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A31" s="9" t="n"/>
      <c r="B31" s="10" t="n"/>
      <c r="C31" s="10" t="n"/>
      <c r="D31" s="10" t="n"/>
      <c r="E31" s="10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</row>
    <row r="32">
      <c r="A32" s="9" t="n"/>
      <c r="B32" s="10" t="n"/>
      <c r="C32" s="10" t="n"/>
      <c r="D32" s="10" t="n"/>
      <c r="E32" s="10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A33" s="9" t="n"/>
      <c r="B33" s="10" t="n"/>
      <c r="C33" s="10" t="n"/>
      <c r="D33" s="10" t="n"/>
      <c r="E33" s="10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</row>
    <row r="34">
      <c r="A34" s="9" t="n"/>
      <c r="B34" s="10" t="n"/>
      <c r="C34" s="10" t="n"/>
      <c r="D34" s="10" t="n"/>
      <c r="E34" s="10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A35" s="9" t="n"/>
      <c r="B35" s="10" t="n"/>
      <c r="C35" s="10" t="n"/>
      <c r="D35" s="10" t="n"/>
      <c r="E35" s="10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A36" s="9" t="n"/>
      <c r="B36" s="10" t="n"/>
      <c r="C36" s="10" t="n"/>
      <c r="D36" s="10" t="n"/>
      <c r="E36" s="10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A37" s="9" t="n"/>
      <c r="B37" s="10" t="n"/>
      <c r="C37" s="10" t="n"/>
      <c r="D37" s="10" t="n"/>
      <c r="E37" s="10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A38" s="9" t="n"/>
      <c r="B38" s="10" t="n"/>
      <c r="C38" s="10" t="n"/>
      <c r="D38" s="10" t="n"/>
      <c r="E38" s="10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A39" s="9" t="n"/>
      <c r="B39" s="10" t="n"/>
      <c r="C39" s="10" t="n"/>
      <c r="D39" s="10" t="n"/>
      <c r="E39" s="10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9" t="n"/>
      <c r="B40" s="10" t="n"/>
      <c r="C40" s="10" t="n"/>
      <c r="D40" s="10" t="n"/>
      <c r="E40" s="10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</row>
    <row r="41">
      <c r="A41" s="9" t="n"/>
      <c r="B41" s="10" t="n"/>
      <c r="C41" s="10" t="n"/>
      <c r="D41" s="10" t="n"/>
      <c r="E41" s="10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>
      <c r="A42" s="9" t="n"/>
      <c r="B42" s="10" t="n"/>
      <c r="C42" s="10" t="n"/>
      <c r="D42" s="10" t="n"/>
      <c r="E42" s="10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</row>
    <row r="43">
      <c r="A43" s="9" t="n"/>
      <c r="B43" s="10" t="n"/>
      <c r="C43" s="10" t="n"/>
      <c r="D43" s="10" t="n"/>
      <c r="E43" s="10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</row>
    <row r="44">
      <c r="A44" s="9" t="n"/>
      <c r="B44" s="10" t="n"/>
      <c r="C44" s="10" t="n"/>
      <c r="D44" s="10" t="n"/>
      <c r="E44" s="10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</row>
    <row r="45">
      <c r="A45" s="9" t="n"/>
      <c r="B45" s="10" t="n"/>
      <c r="C45" s="10" t="n"/>
      <c r="D45" s="10" t="n"/>
      <c r="E45" s="10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</row>
    <row r="46">
      <c r="A46" s="9" t="n"/>
      <c r="B46" s="10" t="n"/>
      <c r="C46" s="10" t="n"/>
      <c r="D46" s="10" t="n"/>
      <c r="E46" s="10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</row>
    <row r="47">
      <c r="A47" s="9" t="n"/>
      <c r="B47" s="10" t="n"/>
      <c r="C47" s="10" t="n"/>
      <c r="D47" s="10" t="n"/>
      <c r="E47" s="10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</row>
    <row r="48">
      <c r="A48" s="9" t="n"/>
      <c r="B48" s="10" t="n"/>
      <c r="C48" s="10" t="n"/>
      <c r="D48" s="10" t="n"/>
      <c r="E48" s="10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</row>
    <row r="49">
      <c r="A49" s="9" t="n"/>
      <c r="B49" s="10" t="n"/>
      <c r="C49" s="10" t="n"/>
      <c r="D49" s="10" t="n"/>
      <c r="E49" s="10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A50" s="9" t="n"/>
      <c r="B50" s="10" t="n"/>
      <c r="C50" s="10" t="n"/>
      <c r="D50" s="10" t="n"/>
      <c r="E50" s="10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</row>
  </sheetData>
  <mergeCells count="2">
    <mergeCell ref="F3:T5"/>
    <mergeCell ref="A3:E5"/>
  </mergeCells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7:E50">
    <cfRule type="cellIs" priority="9" operator="equal" dxfId="0">
      <formula>"L"</formula>
    </cfRule>
    <cfRule type="cellIs" priority="10" operator="equal" dxfId="1">
      <formula>"W"</formula>
    </cfRule>
  </conditionalFormatting>
  <dataValidations count="7">
    <dataValidation sqref="A7:A2001" showDropDown="0" showInputMessage="0" showErrorMessage="0" allowBlank="1" errorTitle="Valor no válido" error="Selecciona: PRE, LIVE o Combinado" type="list">
      <formula1>'Base datos'!$G$2:$G$4</formula1>
    </dataValidation>
    <dataValidation sqref="B7:B2001" showDropDown="0" showInputMessage="0" showErrorMessage="0" allowBlank="1" errorTitle="Tipster no válido" error="Selecciona un tipster de la lista" type="list">
      <formula1>Mis_Picks_Dashboard!$A$3:$A$100</formula1>
    </dataValidation>
    <dataValidation sqref="E7:E2001" showDropDown="0" showInputMessage="0" showErrorMessage="0" allowBlank="1" errorTitle="Resultado no válido" error="Selecciona: W (Win), L (Loss), V (Void), HW (Half Win), HL (Half Loss)" type="list">
      <formula1>"W,L,V,HW,HL"</formula1>
    </dataValidation>
    <dataValidation sqref="Q7:Q2001" showDropDown="0" showInputMessage="0" showErrorMessage="0" allowBlank="1" errorTitle="Valor no válido" error="Selecciona: Si o No" type="list">
      <formula1>'Base datos'!$I$2:$I$4</formula1>
    </dataValidation>
    <dataValidation sqref="R7:R2001" showDropDown="0" showInputMessage="0" showErrorMessage="0" allowBlank="1" errorTitle="Deporte no válido" error="Selecciona un deporte de la lista" type="list">
      <formula1>'Base datos'!$E$2:$E$20</formula1>
    </dataValidation>
    <dataValidation sqref="S7:S2001" showDropDown="0" showInputMessage="0" showErrorMessage="0" allowBlank="1" errorTitle="Plataforma no válida" error="Selecciona una plataforma de la lista" type="list">
      <formula1>'Base datos'!$C$2:$C$20</formula1>
    </dataValidation>
    <dataValidation sqref="T7:T2001" showDropDown="0" showInputMessage="0" showErrorMessage="0" allowBlank="1" errorTitle="Bookmaker no válido" error="Selecciona un bookmaker de la lista" type="list">
      <formula1>'Base datos'!$A$2:$A$30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TIPSTER</t>
        </is>
      </c>
      <c r="B1" s="5" t="inlineStr">
        <is>
          <t>PICKS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VOID</t>
        </is>
      </c>
      <c r="F1" s="5" t="inlineStr">
        <is>
          <t>%</t>
        </is>
      </c>
      <c r="G1" s="5" t="inlineStr">
        <is>
          <t>PROFIT</t>
        </is>
      </c>
      <c r="H1" s="5" t="inlineStr">
        <is>
          <t>YIELD</t>
        </is>
      </c>
      <c r="I1" s="5" t="inlineStr">
        <is>
          <t>AVG CUOTA</t>
        </is>
      </c>
    </row>
    <row r="2">
      <c r="A2" s="5" t="inlineStr">
        <is>
          <t>Manolo</t>
        </is>
      </c>
      <c r="B2" s="5" t="n">
        <v>9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TIPSTER</t>
        </is>
      </c>
      <c r="B1" s="5" t="inlineStr">
        <is>
          <t>PICKS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VOID</t>
        </is>
      </c>
      <c r="F1" s="5" t="inlineStr">
        <is>
          <t>%</t>
        </is>
      </c>
      <c r="G1" s="5" t="inlineStr">
        <is>
          <t>PROFIT</t>
        </is>
      </c>
      <c r="H1" s="5" t="inlineStr">
        <is>
          <t>YIELD</t>
        </is>
      </c>
      <c r="I1" s="5" t="inlineStr">
        <is>
          <t>AVG CUOTA</t>
        </is>
      </c>
    </row>
    <row r="2">
      <c r="A2" s="5" t="inlineStr">
        <is>
          <t>Manolo</t>
        </is>
      </c>
      <c r="B2" s="5" t="n">
        <v>3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TIPSTER</t>
        </is>
      </c>
      <c r="B1" s="5" t="inlineStr">
        <is>
          <t>PICKS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VOID</t>
        </is>
      </c>
      <c r="F1" s="5" t="inlineStr">
        <is>
          <t>%</t>
        </is>
      </c>
      <c r="G1" s="5" t="inlineStr">
        <is>
          <t>PROFIT</t>
        </is>
      </c>
      <c r="H1" s="5" t="inlineStr">
        <is>
          <t>YIELD</t>
        </is>
      </c>
      <c r="I1" s="5" t="inlineStr">
        <is>
          <t>AVG CUOTA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TIPSTER</t>
        </is>
      </c>
      <c r="B1" s="5" t="inlineStr">
        <is>
          <t>PICKS</t>
        </is>
      </c>
      <c r="C1" s="5" t="inlineStr">
        <is>
          <t>WON</t>
        </is>
      </c>
      <c r="D1" s="5" t="inlineStr">
        <is>
          <t>LOST</t>
        </is>
      </c>
      <c r="E1" s="5" t="inlineStr">
        <is>
          <t>VOID</t>
        </is>
      </c>
      <c r="F1" s="5" t="inlineStr">
        <is>
          <t>%</t>
        </is>
      </c>
      <c r="G1" s="5" t="inlineStr">
        <is>
          <t>PROFIT</t>
        </is>
      </c>
      <c r="H1" s="5" t="inlineStr">
        <is>
          <t>YIELD</t>
        </is>
      </c>
      <c r="I1" s="5" t="inlineStr">
        <is>
          <t>AVG CUOTA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2025-11-19T23:50:56Z</dcterms:created>
  <dcterms:modified xmlns:dcterms="http://purl.org/dc/terms/" xmlns:xsi="http://www.w3.org/2001/XMLSchema-instance" xsi:type="dcterms:W3CDTF">2025-11-19T23:50:56Z</dcterms:modified>
</cp:coreProperties>
</file>