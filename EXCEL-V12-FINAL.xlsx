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Realizadas" sheetId="1" state="visible" r:id="rId1"/>
    <sheet xmlns:r="http://schemas.openxmlformats.org/officeDocument/2006/relationships" name="Lanzadas Tipster" sheetId="2" state="visible" r:id="rId2"/>
    <sheet xmlns:r="http://schemas.openxmlformats.org/officeDocument/2006/relationships" name="Mis_Picks_Dashboard" sheetId="3" state="visible" r:id="rId3"/>
    <sheet xmlns:r="http://schemas.openxmlformats.org/officeDocument/2006/relationships" name="Tipster_Picks_Dashboard" sheetId="4" state="visible" r:id="rId4"/>
    <sheet xmlns:r="http://schemas.openxmlformats.org/officeDocument/2006/relationships" name="Base datos" sheetId="5" state="visible" r:id="rId5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b val="1"/>
      <color rgb="00FFFFFF"/>
      <sz val="14"/>
    </font>
    <font>
      <b val="1"/>
      <color rgb="00000000"/>
      <sz val="11"/>
    </font>
  </fonts>
  <fills count="6">
    <fill>
      <patternFill/>
    </fill>
    <fill>
      <patternFill patternType="gray125"/>
    </fill>
    <fill>
      <patternFill patternType="solid"/>
    </fill>
    <fill>
      <patternFill patternType="solid">
        <fgColor rgb="0000B050"/>
        <bgColor rgb="0000B050"/>
      </patternFill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 outlineLevelCol="0"/>
  <cols>
    <col width="12.83203125" customWidth="1" min="1" max="1"/>
    <col width="15.83203125" customWidth="1" min="2" max="2"/>
    <col width="8.83203125" customWidth="1" min="3" max="3"/>
    <col width="8.83203125" customWidth="1" min="4" max="4"/>
    <col width="8.83203125" customWidth="1" min="5" max="5"/>
    <col width="12.83203125" customWidth="1" min="6" max="6"/>
    <col width="10.83203125" customWidth="1" min="7" max="7"/>
    <col width="12.83203125" customWidth="1" min="8" max="8"/>
    <col width="12.83203125" customWidth="1" min="9" max="9"/>
    <col width="10.83203125" customWidth="1" min="10" max="10"/>
    <col width="12.83203125" customWidth="1" min="11" max="11"/>
    <col width="10.83203125" customWidth="1" min="12" max="12"/>
    <col width="40.83203125" customWidth="1" min="13" max="13"/>
    <col width="5.83203125" customWidth="1" min="14" max="14"/>
    <col width="5.83203125" customWidth="1" min="15" max="15"/>
    <col width="30.83203125" customWidth="1" min="16" max="16"/>
    <col width="12.83203125" customWidth="1" min="17" max="17"/>
    <col width="15.83203125" customWidth="1" min="18" max="18"/>
    <col width="20.83203125" customWidth="1" min="19" max="19"/>
    <col width="15.83203125" customWidth="1" min="20" max="20"/>
  </cols>
  <sheetData>
    <row r="1">
      <c r="B1" s="1" t="inlineStr">
        <is>
          <t>✅</t>
        </is>
      </c>
      <c r="C1" s="2" t="inlineStr">
        <is>
          <t>❌</t>
        </is>
      </c>
      <c r="D1" s="2" t="inlineStr">
        <is>
          <t>🔵</t>
        </is>
      </c>
      <c r="E1" t="inlineStr">
        <is>
          <t>UDS.</t>
        </is>
      </c>
      <c r="F1" t="inlineStr">
        <is>
          <t>Beneficio</t>
        </is>
      </c>
      <c r="G1" t="inlineStr">
        <is>
          <t>Yield Global</t>
        </is>
      </c>
      <c r="H1" t="inlineStr">
        <is>
          <t>Bank Actual</t>
        </is>
      </c>
      <c r="I1" t="inlineStr">
        <is>
          <t>Bank Inicial</t>
        </is>
      </c>
      <c r="J1" t="inlineStr">
        <is>
          <t>Apostado</t>
        </is>
      </c>
    </row>
    <row r="2">
      <c r="A2">
        <f>B2/(B2+C2)</f>
        <v/>
      </c>
      <c r="B2">
        <f>COUNTIF(E7:E2001,"w")</f>
        <v/>
      </c>
      <c r="C2">
        <f>COUNTIF(E7:E2001,"l")</f>
        <v/>
      </c>
      <c r="D2">
        <f>COUNTIF(E7:E2001,"V")</f>
        <v/>
      </c>
      <c r="E2">
        <f>SUM($F$7:$F$2001)</f>
        <v/>
      </c>
      <c r="F2">
        <f>SUM(H7:H2001)</f>
        <v/>
      </c>
      <c r="G2" s="3">
        <f>F2/J2</f>
        <v/>
      </c>
      <c r="H2">
        <f>I2+F2</f>
        <v/>
      </c>
      <c r="I2" t="n">
        <v>10000</v>
      </c>
      <c r="J2">
        <f>SUM($G$7:$G$2001)</f>
        <v/>
      </c>
    </row>
    <row r="3">
      <c r="A3" s="4" t="inlineStr">
        <is>
          <t>PLANTILLA EII</t>
        </is>
      </c>
      <c r="F3" s="4" t="inlineStr">
        <is>
          <t>Rellenar con los picks que lanza el tipster</t>
        </is>
      </c>
    </row>
    <row r="4"/>
    <row r="5"/>
    <row r="6" ht="25" customHeight="1">
      <c r="A6" t="inlineStr">
        <is>
          <t>LIVE-PRE</t>
        </is>
      </c>
      <c r="B6" s="5" t="inlineStr">
        <is>
          <t>TIPSTER</t>
        </is>
      </c>
      <c r="C6" s="5" t="inlineStr">
        <is>
          <t>STAKE</t>
        </is>
      </c>
      <c r="D6" s="5" t="inlineStr">
        <is>
          <t>CUOTA</t>
        </is>
      </c>
      <c r="E6" s="5" t="inlineStr">
        <is>
          <t>W/L/V</t>
        </is>
      </c>
      <c r="F6" t="inlineStr">
        <is>
          <t>Resultado unidades</t>
        </is>
      </c>
      <c r="G6" t="inlineStr">
        <is>
          <t>CANTIDAD</t>
        </is>
      </c>
      <c r="H6" t="inlineStr">
        <is>
          <t>Resultado euros</t>
        </is>
      </c>
      <c r="I6" t="inlineStr">
        <is>
          <t>FECHA PICK</t>
        </is>
      </c>
      <c r="J6" t="inlineStr">
        <is>
          <t>HORA PICK</t>
        </is>
      </c>
      <c r="K6" t="inlineStr">
        <is>
          <t>FECHA PARTIDO</t>
        </is>
      </c>
      <c r="L6" t="inlineStr">
        <is>
          <t>HORA PARTIDO</t>
        </is>
      </c>
      <c r="M6" s="5" t="inlineStr">
        <is>
          <t>APUESTA</t>
        </is>
      </c>
      <c r="P6" t="inlineStr">
        <is>
          <t>Comentarios</t>
        </is>
      </c>
      <c r="Q6" t="inlineStr">
        <is>
          <t>COMBINADA</t>
        </is>
      </c>
      <c r="R6" t="inlineStr">
        <is>
          <t>DEPORTE</t>
        </is>
      </c>
      <c r="S6" t="inlineStr">
        <is>
          <t>Plataforma envio pick</t>
        </is>
      </c>
      <c r="T6" t="inlineStr">
        <is>
          <t>BOOKIE</t>
        </is>
      </c>
    </row>
    <row r="7">
      <c r="A7" s="6" t="n"/>
      <c r="B7" s="7" t="n"/>
      <c r="C7" s="7" t="n"/>
      <c r="D7" s="7" t="n"/>
      <c r="E7" s="7" t="n"/>
      <c r="F7" s="6">
        <f>IF(E7="L",-C7,IF(E7="W",C7*(D7-1),IF(E7="HW",(C7/2)*(D7-1),IF(E7="HL",-C7/2,0))))</f>
        <v/>
      </c>
      <c r="G7" s="6">
        <f>IFERROR(($I$2/VLOOKUP(B7,Tipster_Picks_Dashboard!$A$3:$W$76,2,FALSE))*C7,"")</f>
        <v/>
      </c>
      <c r="H7" s="6">
        <f>IF(E7="w",G7*D7-G7,IF(E7="L",-G7,0))</f>
        <v/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6" t="n"/>
      <c r="B8" s="7" t="n"/>
      <c r="C8" s="7" t="n"/>
      <c r="D8" s="7" t="n"/>
      <c r="E8" s="7" t="n"/>
      <c r="F8" s="6">
        <f>IF(E8="L",-C8,IF(E8="W",C8*(D8-1),IF(E8="HW",(C8/2)*(D8-1),IF(E8="HL",-C8/2,0))))</f>
        <v/>
      </c>
      <c r="G8" s="6">
        <f>IFERROR(($I$2/VLOOKUP(B8,Tipster_Picks_Dashboard!$A$3:$W$76,2,FALSE))*C8,"")</f>
        <v/>
      </c>
      <c r="H8" s="6">
        <f>IF(E8="w",G8*D8-G8,IF(E8="L",-G8,0))</f>
        <v/>
      </c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</row>
    <row r="9">
      <c r="A9" s="6" t="n"/>
      <c r="B9" s="7" t="n"/>
      <c r="C9" s="7" t="n"/>
      <c r="D9" s="7" t="n"/>
      <c r="E9" s="7" t="n"/>
      <c r="F9" s="6">
        <f>IF(E9="L",-C9,IF(E9="W",C9*(D9-1),IF(E9="HW",(C9/2)*(D9-1),IF(E9="HL",-C9/2,0))))</f>
        <v/>
      </c>
      <c r="G9" s="6">
        <f>IFERROR(($I$2/VLOOKUP(B9,Tipster_Picks_Dashboard!$A$3:$W$76,2,FALSE))*C9,"")</f>
        <v/>
      </c>
      <c r="H9" s="6">
        <f>IF(E9="w",G9*D9-G9,IF(E9="L",-G9,0))</f>
        <v/>
      </c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</row>
    <row r="10">
      <c r="A10" s="6" t="n"/>
      <c r="B10" s="7" t="n"/>
      <c r="C10" s="7" t="n"/>
      <c r="D10" s="7" t="n"/>
      <c r="E10" s="7" t="n"/>
      <c r="F10" s="6">
        <f>IF(E10="L",-C10,IF(E10="W",C10*(D10-1),IF(E10="HW",(C10/2)*(D10-1),IF(E10="HL",-C10/2,0))))</f>
        <v/>
      </c>
      <c r="G10" s="6">
        <f>IFERROR(($I$2/VLOOKUP(B10,Tipster_Picks_Dashboard!$A$3:$W$76,2,FALSE))*C10,"")</f>
        <v/>
      </c>
      <c r="H10" s="6">
        <f>IF(E10="w",G10*D10-G10,IF(E10="L",-G10,0))</f>
        <v/>
      </c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</row>
    <row r="11">
      <c r="A11" s="6" t="n"/>
      <c r="B11" s="7" t="n"/>
      <c r="C11" s="7" t="n"/>
      <c r="D11" s="7" t="n"/>
      <c r="E11" s="7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</row>
    <row r="12">
      <c r="A12" s="6" t="n"/>
      <c r="B12" s="7" t="n"/>
      <c r="C12" s="7" t="n"/>
      <c r="D12" s="7" t="n"/>
      <c r="E12" s="7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</row>
    <row r="13">
      <c r="A13" s="6" t="n"/>
      <c r="B13" s="7" t="n"/>
      <c r="C13" s="7" t="n"/>
      <c r="D13" s="7" t="n"/>
      <c r="E13" s="7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</row>
    <row r="14">
      <c r="A14" s="6" t="n"/>
      <c r="B14" s="7" t="n"/>
      <c r="C14" s="7" t="n"/>
      <c r="D14" s="7" t="n"/>
      <c r="E14" s="7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</row>
    <row r="15">
      <c r="A15" s="6" t="n"/>
      <c r="B15" s="7" t="n"/>
      <c r="C15" s="7" t="n"/>
      <c r="D15" s="7" t="n"/>
      <c r="E15" s="7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</row>
    <row r="16">
      <c r="A16" s="6" t="n"/>
      <c r="B16" s="7" t="n"/>
      <c r="C16" s="7" t="n"/>
      <c r="D16" s="7" t="n"/>
      <c r="E16" s="7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</row>
    <row r="17">
      <c r="A17" s="6" t="n"/>
      <c r="B17" s="7" t="n"/>
      <c r="C17" s="7" t="n"/>
      <c r="D17" s="7" t="n"/>
      <c r="E17" s="7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</row>
    <row r="18">
      <c r="A18" s="6" t="n"/>
      <c r="B18" s="7" t="n"/>
      <c r="C18" s="7" t="n"/>
      <c r="D18" s="7" t="n"/>
      <c r="E18" s="7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</row>
    <row r="19">
      <c r="A19" s="6" t="n"/>
      <c r="B19" s="7" t="n"/>
      <c r="C19" s="7" t="n"/>
      <c r="D19" s="7" t="n"/>
      <c r="E19" s="7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</row>
    <row r="20">
      <c r="A20" s="6" t="n"/>
      <c r="B20" s="7" t="n"/>
      <c r="C20" s="7" t="n"/>
      <c r="D20" s="7" t="n"/>
      <c r="E20" s="7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</row>
    <row r="21">
      <c r="A21" s="6" t="n"/>
      <c r="B21" s="7" t="n"/>
      <c r="C21" s="7" t="n"/>
      <c r="D21" s="7" t="n"/>
      <c r="E21" s="7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</row>
    <row r="22">
      <c r="A22" s="6" t="n"/>
      <c r="B22" s="7" t="n"/>
      <c r="C22" s="7" t="n"/>
      <c r="D22" s="7" t="n"/>
      <c r="E22" s="7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</row>
    <row r="23">
      <c r="A23" s="6" t="n"/>
      <c r="B23" s="7" t="n"/>
      <c r="C23" s="7" t="n"/>
      <c r="D23" s="7" t="n"/>
      <c r="E23" s="7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</row>
    <row r="24">
      <c r="A24" s="6" t="n"/>
      <c r="B24" s="7" t="n"/>
      <c r="C24" s="7" t="n"/>
      <c r="D24" s="7" t="n"/>
      <c r="E24" s="7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</row>
    <row r="25">
      <c r="A25" s="6" t="n"/>
      <c r="B25" s="7" t="n"/>
      <c r="C25" s="7" t="n"/>
      <c r="D25" s="7" t="n"/>
      <c r="E25" s="7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</row>
    <row r="26">
      <c r="A26" s="6" t="n"/>
      <c r="B26" s="7" t="n"/>
      <c r="C26" s="7" t="n"/>
      <c r="D26" s="7" t="n"/>
      <c r="E26" s="7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</row>
    <row r="27">
      <c r="A27" s="6" t="n"/>
      <c r="B27" s="7" t="n"/>
      <c r="C27" s="7" t="n"/>
      <c r="D27" s="7" t="n"/>
      <c r="E27" s="7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</row>
    <row r="28">
      <c r="A28" s="6" t="n"/>
      <c r="B28" s="7" t="n"/>
      <c r="C28" s="7" t="n"/>
      <c r="D28" s="7" t="n"/>
      <c r="E28" s="7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</row>
    <row r="29">
      <c r="A29" s="6" t="n"/>
      <c r="B29" s="7" t="n"/>
      <c r="C29" s="7" t="n"/>
      <c r="D29" s="7" t="n"/>
      <c r="E29" s="7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</row>
    <row r="30">
      <c r="A30" s="6" t="n"/>
      <c r="B30" s="7" t="n"/>
      <c r="C30" s="7" t="n"/>
      <c r="D30" s="7" t="n"/>
      <c r="E30" s="7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</row>
    <row r="31">
      <c r="A31" s="6" t="n"/>
      <c r="B31" s="7" t="n"/>
      <c r="C31" s="7" t="n"/>
      <c r="D31" s="7" t="n"/>
      <c r="E31" s="7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</row>
    <row r="32">
      <c r="A32" s="6" t="n"/>
      <c r="B32" s="7" t="n"/>
      <c r="C32" s="7" t="n"/>
      <c r="D32" s="7" t="n"/>
      <c r="E32" s="7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</row>
    <row r="33">
      <c r="A33" s="6" t="n"/>
      <c r="B33" s="7" t="n"/>
      <c r="C33" s="7" t="n"/>
      <c r="D33" s="7" t="n"/>
      <c r="E33" s="7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</row>
    <row r="34">
      <c r="A34" s="6" t="n"/>
      <c r="B34" s="7" t="n"/>
      <c r="C34" s="7" t="n"/>
      <c r="D34" s="7" t="n"/>
      <c r="E34" s="7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</row>
    <row r="35">
      <c r="A35" s="6" t="n"/>
      <c r="B35" s="7" t="n"/>
      <c r="C35" s="7" t="n"/>
      <c r="D35" s="7" t="n"/>
      <c r="E35" s="7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</row>
    <row r="36">
      <c r="A36" s="6" t="n"/>
      <c r="B36" s="7" t="n"/>
      <c r="C36" s="7" t="n"/>
      <c r="D36" s="7" t="n"/>
      <c r="E36" s="7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</row>
    <row r="37">
      <c r="A37" s="6" t="n"/>
      <c r="B37" s="7" t="n"/>
      <c r="C37" s="7" t="n"/>
      <c r="D37" s="7" t="n"/>
      <c r="E37" s="7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</row>
    <row r="38">
      <c r="A38" s="6" t="n"/>
      <c r="B38" s="7" t="n"/>
      <c r="C38" s="7" t="n"/>
      <c r="D38" s="7" t="n"/>
      <c r="E38" s="7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</row>
    <row r="39">
      <c r="A39" s="6" t="n"/>
      <c r="B39" s="7" t="n"/>
      <c r="C39" s="7" t="n"/>
      <c r="D39" s="7" t="n"/>
      <c r="E39" s="7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</row>
    <row r="40">
      <c r="A40" s="6" t="n"/>
      <c r="B40" s="7" t="n"/>
      <c r="C40" s="7" t="n"/>
      <c r="D40" s="7" t="n"/>
      <c r="E40" s="7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</row>
    <row r="41">
      <c r="A41" s="6" t="n"/>
      <c r="B41" s="7" t="n"/>
      <c r="C41" s="7" t="n"/>
      <c r="D41" s="7" t="n"/>
      <c r="E41" s="7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</row>
    <row r="42">
      <c r="A42" s="6" t="n"/>
      <c r="B42" s="7" t="n"/>
      <c r="C42" s="7" t="n"/>
      <c r="D42" s="7" t="n"/>
      <c r="E42" s="7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</row>
    <row r="43">
      <c r="A43" s="6" t="n"/>
      <c r="B43" s="7" t="n"/>
      <c r="C43" s="7" t="n"/>
      <c r="D43" s="7" t="n"/>
      <c r="E43" s="7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</row>
    <row r="44">
      <c r="A44" s="6" t="n"/>
      <c r="B44" s="7" t="n"/>
      <c r="C44" s="7" t="n"/>
      <c r="D44" s="7" t="n"/>
      <c r="E44" s="7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</row>
    <row r="45">
      <c r="A45" s="6" t="n"/>
      <c r="B45" s="7" t="n"/>
      <c r="C45" s="7" t="n"/>
      <c r="D45" s="7" t="n"/>
      <c r="E45" s="7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</row>
    <row r="46">
      <c r="A46" s="6" t="n"/>
      <c r="B46" s="7" t="n"/>
      <c r="C46" s="7" t="n"/>
      <c r="D46" s="7" t="n"/>
      <c r="E46" s="7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</row>
    <row r="47">
      <c r="A47" s="6" t="n"/>
      <c r="B47" s="7" t="n"/>
      <c r="C47" s="7" t="n"/>
      <c r="D47" s="7" t="n"/>
      <c r="E47" s="7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</row>
    <row r="48">
      <c r="A48" s="6" t="n"/>
      <c r="B48" s="7" t="n"/>
      <c r="C48" s="7" t="n"/>
      <c r="D48" s="7" t="n"/>
      <c r="E48" s="7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</row>
    <row r="49">
      <c r="A49" s="6" t="n"/>
      <c r="B49" s="7" t="n"/>
      <c r="C49" s="7" t="n"/>
      <c r="D49" s="7" t="n"/>
      <c r="E49" s="7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</row>
    <row r="50">
      <c r="A50" s="6" t="n"/>
      <c r="B50" s="7" t="n"/>
      <c r="C50" s="7" t="n"/>
      <c r="D50" s="7" t="n"/>
      <c r="E50" s="7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</row>
  </sheetData>
  <mergeCells count="3">
    <mergeCell ref="F3:T5"/>
    <mergeCell ref="M6:O6"/>
    <mergeCell ref="A3:E5"/>
  </mergeCells>
  <conditionalFormatting sqref="E2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F2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G2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H2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E7:E50">
    <cfRule type="cellIs" priority="9" operator="equal" dxfId="0">
      <formula>"L"</formula>
    </cfRule>
    <cfRule type="cellIs" priority="10" operator="equal" dxfId="1">
      <formula>"W"</formula>
    </cfRule>
  </conditionalFormatting>
  <dataValidations count="7">
    <dataValidation sqref="A7:A2001" showDropDown="0" showInputMessage="0" showErrorMessage="0" allowBlank="1" errorTitle="Valor no válido" error="Selecciona: PRE, LIVE o Combinado" type="list">
      <formula1>'Base datos'!$G$2:$G$4</formula1>
    </dataValidation>
    <dataValidation sqref="B7:B2001" showDropDown="0" showInputMessage="0" showErrorMessage="0" allowBlank="1" errorTitle="Tipster no válido" error="Selecciona un tipster de la lista" type="list">
      <formula1>Tipster_Picks_Dashboard!$A$3:$A$100</formula1>
    </dataValidation>
    <dataValidation sqref="E7:E2001" showDropDown="0" showInputMessage="0" showErrorMessage="0" allowBlank="1" errorTitle="Resultado no válido" error="Selecciona: W (Win), L (Loss), V (Void), HW (Half Win), HL (Half Loss)" type="list">
      <formula1>"W,L,V,HW,HL"</formula1>
    </dataValidation>
    <dataValidation sqref="Q7:Q2001" showDropDown="0" showInputMessage="0" showErrorMessage="0" allowBlank="1" errorTitle="Valor no válido" error="Selecciona: Si o No" type="list">
      <formula1>'Base datos'!$I$2:$I$4</formula1>
    </dataValidation>
    <dataValidation sqref="R7:R2001" showDropDown="0" showInputMessage="0" showErrorMessage="0" allowBlank="1" errorTitle="Deporte no válido" error="Selecciona un deporte de la lista" type="list">
      <formula1>'Base datos'!$E$2:$E$20</formula1>
    </dataValidation>
    <dataValidation sqref="S7:S2001" showDropDown="0" showInputMessage="0" showErrorMessage="0" allowBlank="1" errorTitle="Plataforma no válida" error="Selecciona una plataforma de la lista" type="list">
      <formula1>'Base datos'!$C$2:$C$20</formula1>
    </dataValidation>
    <dataValidation sqref="T7:T2001" showDropDown="0" showInputMessage="0" showErrorMessage="0" allowBlank="1" errorTitle="Bookmaker no válido" error="Selecciona un bookmaker de la lista" type="list">
      <formula1>'Base datos'!$A$2:$A$30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 outlineLevelCol="0"/>
  <cols>
    <col width="12.83203125" customWidth="1" min="1" max="1"/>
    <col width="15.83203125" customWidth="1" min="2" max="2"/>
    <col width="8.83203125" customWidth="1" min="3" max="3"/>
    <col width="8.83203125" customWidth="1" min="4" max="4"/>
    <col width="8.83203125" customWidth="1" min="5" max="5"/>
    <col width="12.83203125" customWidth="1" min="6" max="6"/>
    <col width="10.83203125" customWidth="1" min="7" max="7"/>
    <col width="12.83203125" customWidth="1" min="8" max="8"/>
    <col width="12.83203125" customWidth="1" min="9" max="9"/>
    <col width="10.83203125" customWidth="1" min="10" max="10"/>
    <col width="12.83203125" customWidth="1" min="11" max="11"/>
    <col width="10.83203125" customWidth="1" min="12" max="12"/>
    <col width="40.83203125" customWidth="1" min="13" max="13"/>
    <col width="5.83203125" customWidth="1" min="14" max="14"/>
    <col width="5.83203125" customWidth="1" min="15" max="15"/>
    <col width="12.83203125" customWidth="1" min="16" max="16"/>
    <col width="15.83203125" customWidth="1" min="17" max="17"/>
    <col width="20.83203125" customWidth="1" min="18" max="18"/>
    <col width="18.83203125" customWidth="1" min="19" max="19"/>
  </cols>
  <sheetData>
    <row r="1">
      <c r="B1" s="1" t="inlineStr">
        <is>
          <t>✅</t>
        </is>
      </c>
      <c r="C1" s="2" t="inlineStr">
        <is>
          <t>❌</t>
        </is>
      </c>
      <c r="D1" s="2" t="inlineStr">
        <is>
          <t>🔵</t>
        </is>
      </c>
      <c r="E1" t="inlineStr">
        <is>
          <t>UDS.</t>
        </is>
      </c>
      <c r="F1" t="inlineStr">
        <is>
          <t>Beneficio</t>
        </is>
      </c>
      <c r="G1" t="inlineStr">
        <is>
          <t>Yield Global</t>
        </is>
      </c>
      <c r="H1" t="inlineStr">
        <is>
          <t>Bank Actual</t>
        </is>
      </c>
      <c r="I1" t="inlineStr">
        <is>
          <t>Bank Inicial</t>
        </is>
      </c>
      <c r="J1" t="inlineStr">
        <is>
          <t>Apostado</t>
        </is>
      </c>
    </row>
    <row r="2">
      <c r="A2">
        <f>B2/(B2+C2)</f>
        <v/>
      </c>
      <c r="B2">
        <f>COUNTIF(E7:E1853,"w")</f>
        <v/>
      </c>
      <c r="C2">
        <f>COUNTIF(E7:E1853,"l")</f>
        <v/>
      </c>
      <c r="D2">
        <f>COUNTIF(E7:E1853,"V")</f>
        <v/>
      </c>
      <c r="E2">
        <f>SUM($F$7:$F$1853)</f>
        <v/>
      </c>
      <c r="F2">
        <f>SUM(H7:H1853)</f>
        <v/>
      </c>
      <c r="G2" s="3">
        <f>F2/J2</f>
        <v/>
      </c>
      <c r="H2">
        <f>I2+F2</f>
        <v/>
      </c>
      <c r="I2" t="n">
        <v>10000</v>
      </c>
      <c r="J2">
        <f>SUM($G$7:$G$1853)</f>
        <v/>
      </c>
    </row>
    <row r="3">
      <c r="A3" s="4" t="inlineStr">
        <is>
          <t>PLANTILLA EII</t>
        </is>
      </c>
      <c r="F3" s="4" t="inlineStr">
        <is>
          <t>Rellenar con los picks que lanza el tipster</t>
        </is>
      </c>
    </row>
    <row r="4"/>
    <row r="5"/>
    <row r="6" ht="25" customHeight="1">
      <c r="A6" t="inlineStr">
        <is>
          <t>LIVE-PRE</t>
        </is>
      </c>
      <c r="B6" s="5" t="inlineStr">
        <is>
          <t>TIPSTER</t>
        </is>
      </c>
      <c r="C6" s="5" t="inlineStr">
        <is>
          <t>STAKE</t>
        </is>
      </c>
      <c r="D6" s="5" t="inlineStr">
        <is>
          <t>CUOTA</t>
        </is>
      </c>
      <c r="E6" s="5" t="inlineStr">
        <is>
          <t>W/L/V</t>
        </is>
      </c>
      <c r="F6" t="inlineStr">
        <is>
          <t>Resultado unidades</t>
        </is>
      </c>
      <c r="G6" t="inlineStr">
        <is>
          <t>CANTIDAD</t>
        </is>
      </c>
      <c r="H6" t="inlineStr">
        <is>
          <t>Resultado euros</t>
        </is>
      </c>
      <c r="I6" t="inlineStr">
        <is>
          <t>FECHA PICK</t>
        </is>
      </c>
      <c r="J6" t="inlineStr">
        <is>
          <t>HORA PICK</t>
        </is>
      </c>
      <c r="K6" t="inlineStr">
        <is>
          <t>FECHA PARTIDO</t>
        </is>
      </c>
      <c r="L6" t="inlineStr">
        <is>
          <t>HORA PARTIDO</t>
        </is>
      </c>
      <c r="M6" s="5" t="inlineStr">
        <is>
          <t>APUESTA</t>
        </is>
      </c>
      <c r="P6" t="inlineStr">
        <is>
          <t>COMBINADA</t>
        </is>
      </c>
      <c r="Q6" t="inlineStr">
        <is>
          <t>DEPORTE</t>
        </is>
      </c>
      <c r="R6" t="inlineStr">
        <is>
          <t>Plataforma envio pick</t>
        </is>
      </c>
      <c r="S6" t="inlineStr">
        <is>
          <t>BOOKIE recomendado</t>
        </is>
      </c>
    </row>
    <row r="7">
      <c r="A7" s="6" t="n"/>
      <c r="B7" s="7" t="n"/>
      <c r="C7" s="7" t="n"/>
      <c r="D7" s="7" t="n"/>
      <c r="E7" s="7" t="n"/>
      <c r="F7" s="6">
        <f>IF(E7="L",-C7,IF(E7="W",C7*(D7-1),IF(E7="HW",(C7/2)*(D7-1),IF(E7="HL",-C7/2,0))))</f>
        <v/>
      </c>
      <c r="G7" s="6">
        <f>IFERROR(($I$2/VLOOKUP(B7,Tipster_Picks_Dashboard!$A$3:$W$76,2,FALSE))*C7,"")</f>
        <v/>
      </c>
      <c r="H7" s="6">
        <f>IF(E7="w",G7*D7-G7,IF(E7="L",-G7,0))</f>
        <v/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6" t="n"/>
      <c r="B8" s="7" t="n"/>
      <c r="C8" s="7" t="n"/>
      <c r="D8" s="7" t="n"/>
      <c r="E8" s="7" t="n"/>
      <c r="F8" s="6">
        <f>IF(E8="L",-C8,IF(E8="W",C8*(D8-1),IF(E8="HW",(C8/2)*(D8-1),IF(E8="HL",-C8/2,0))))</f>
        <v/>
      </c>
      <c r="G8" s="6">
        <f>IFERROR(($I$2/VLOOKUP(B8,Tipster_Picks_Dashboard!$A$3:$W$76,2,FALSE))*C8,"")</f>
        <v/>
      </c>
      <c r="H8" s="6">
        <f>IF(E8="w",G8*D8-G8,IF(E8="L",-G8,0))</f>
        <v/>
      </c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</row>
    <row r="9">
      <c r="A9" s="6" t="n"/>
      <c r="B9" s="7" t="n"/>
      <c r="C9" s="7" t="n"/>
      <c r="D9" s="7" t="n"/>
      <c r="E9" s="7" t="n"/>
      <c r="F9" s="6">
        <f>IF(E9="L",-C9,IF(E9="W",C9*(D9-1),IF(E9="HW",(C9/2)*(D9-1),IF(E9="HL",-C9/2,0))))</f>
        <v/>
      </c>
      <c r="G9" s="6">
        <f>IFERROR(($I$2/VLOOKUP(B9,Tipster_Picks_Dashboard!$A$3:$W$76,2,FALSE))*C9,"")</f>
        <v/>
      </c>
      <c r="H9" s="6">
        <f>IF(E9="w",G9*D9-G9,IF(E9="L",-G9,0))</f>
        <v/>
      </c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</row>
    <row r="10">
      <c r="A10" s="6" t="n"/>
      <c r="B10" s="7" t="n"/>
      <c r="C10" s="7" t="n"/>
      <c r="D10" s="7" t="n"/>
      <c r="E10" s="7" t="n"/>
      <c r="F10" s="6">
        <f>IF(E10="L",-C10,IF(E10="W",C10*(D10-1),IF(E10="HW",(C10/2)*(D10-1),IF(E10="HL",-C10/2,0))))</f>
        <v/>
      </c>
      <c r="G10" s="6">
        <f>IFERROR(($I$2/VLOOKUP(B10,Tipster_Picks_Dashboard!$A$3:$W$76,2,FALSE))*C10,"")</f>
        <v/>
      </c>
      <c r="H10" s="6">
        <f>IF(E10="w",G10*D10-G10,IF(E10="L",-G10,0))</f>
        <v/>
      </c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</row>
    <row r="11">
      <c r="A11" s="6" t="n"/>
      <c r="B11" s="7" t="n"/>
      <c r="C11" s="7" t="n"/>
      <c r="D11" s="7" t="n"/>
      <c r="E11" s="7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</row>
    <row r="12">
      <c r="A12" s="6" t="n"/>
      <c r="B12" s="7" t="n"/>
      <c r="C12" s="7" t="n"/>
      <c r="D12" s="7" t="n"/>
      <c r="E12" s="7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</row>
    <row r="13">
      <c r="A13" s="6" t="n"/>
      <c r="B13" s="7" t="n"/>
      <c r="C13" s="7" t="n"/>
      <c r="D13" s="7" t="n"/>
      <c r="E13" s="7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</row>
    <row r="14">
      <c r="A14" s="6" t="n"/>
      <c r="B14" s="7" t="n"/>
      <c r="C14" s="7" t="n"/>
      <c r="D14" s="7" t="n"/>
      <c r="E14" s="7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</row>
    <row r="15">
      <c r="A15" s="6" t="n"/>
      <c r="B15" s="7" t="n"/>
      <c r="C15" s="7" t="n"/>
      <c r="D15" s="7" t="n"/>
      <c r="E15" s="7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</row>
    <row r="16">
      <c r="A16" s="6" t="n"/>
      <c r="B16" s="7" t="n"/>
      <c r="C16" s="7" t="n"/>
      <c r="D16" s="7" t="n"/>
      <c r="E16" s="7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</row>
    <row r="17">
      <c r="A17" s="6" t="n"/>
      <c r="B17" s="7" t="n"/>
      <c r="C17" s="7" t="n"/>
      <c r="D17" s="7" t="n"/>
      <c r="E17" s="7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</row>
    <row r="18">
      <c r="A18" s="6" t="n"/>
      <c r="B18" s="7" t="n"/>
      <c r="C18" s="7" t="n"/>
      <c r="D18" s="7" t="n"/>
      <c r="E18" s="7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</row>
    <row r="19">
      <c r="A19" s="6" t="n"/>
      <c r="B19" s="7" t="n"/>
      <c r="C19" s="7" t="n"/>
      <c r="D19" s="7" t="n"/>
      <c r="E19" s="7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</row>
    <row r="20">
      <c r="A20" s="6" t="n"/>
      <c r="B20" s="7" t="n"/>
      <c r="C20" s="7" t="n"/>
      <c r="D20" s="7" t="n"/>
      <c r="E20" s="7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</row>
    <row r="21">
      <c r="A21" s="6" t="n"/>
      <c r="B21" s="7" t="n"/>
      <c r="C21" s="7" t="n"/>
      <c r="D21" s="7" t="n"/>
      <c r="E21" s="7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</row>
    <row r="22">
      <c r="A22" s="6" t="n"/>
      <c r="B22" s="7" t="n"/>
      <c r="C22" s="7" t="n"/>
      <c r="D22" s="7" t="n"/>
      <c r="E22" s="7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</row>
    <row r="23">
      <c r="A23" s="6" t="n"/>
      <c r="B23" s="7" t="n"/>
      <c r="C23" s="7" t="n"/>
      <c r="D23" s="7" t="n"/>
      <c r="E23" s="7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</row>
    <row r="24">
      <c r="A24" s="6" t="n"/>
      <c r="B24" s="7" t="n"/>
      <c r="C24" s="7" t="n"/>
      <c r="D24" s="7" t="n"/>
      <c r="E24" s="7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</row>
    <row r="25">
      <c r="A25" s="6" t="n"/>
      <c r="B25" s="7" t="n"/>
      <c r="C25" s="7" t="n"/>
      <c r="D25" s="7" t="n"/>
      <c r="E25" s="7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</row>
    <row r="26">
      <c r="A26" s="6" t="n"/>
      <c r="B26" s="7" t="n"/>
      <c r="C26" s="7" t="n"/>
      <c r="D26" s="7" t="n"/>
      <c r="E26" s="7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</row>
    <row r="27">
      <c r="A27" s="6" t="n"/>
      <c r="B27" s="7" t="n"/>
      <c r="C27" s="7" t="n"/>
      <c r="D27" s="7" t="n"/>
      <c r="E27" s="7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</row>
    <row r="28">
      <c r="A28" s="6" t="n"/>
      <c r="B28" s="7" t="n"/>
      <c r="C28" s="7" t="n"/>
      <c r="D28" s="7" t="n"/>
      <c r="E28" s="7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</row>
    <row r="29">
      <c r="A29" s="6" t="n"/>
      <c r="B29" s="7" t="n"/>
      <c r="C29" s="7" t="n"/>
      <c r="D29" s="7" t="n"/>
      <c r="E29" s="7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</row>
    <row r="30">
      <c r="A30" s="6" t="n"/>
      <c r="B30" s="7" t="n"/>
      <c r="C30" s="7" t="n"/>
      <c r="D30" s="7" t="n"/>
      <c r="E30" s="7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</row>
    <row r="31">
      <c r="A31" s="6" t="n"/>
      <c r="B31" s="7" t="n"/>
      <c r="C31" s="7" t="n"/>
      <c r="D31" s="7" t="n"/>
      <c r="E31" s="7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</row>
    <row r="32">
      <c r="A32" s="6" t="n"/>
      <c r="B32" s="7" t="n"/>
      <c r="C32" s="7" t="n"/>
      <c r="D32" s="7" t="n"/>
      <c r="E32" s="7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</row>
    <row r="33">
      <c r="A33" s="6" t="n"/>
      <c r="B33" s="7" t="n"/>
      <c r="C33" s="7" t="n"/>
      <c r="D33" s="7" t="n"/>
      <c r="E33" s="7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</row>
    <row r="34">
      <c r="A34" s="6" t="n"/>
      <c r="B34" s="7" t="n"/>
      <c r="C34" s="7" t="n"/>
      <c r="D34" s="7" t="n"/>
      <c r="E34" s="7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</row>
    <row r="35">
      <c r="A35" s="6" t="n"/>
      <c r="B35" s="7" t="n"/>
      <c r="C35" s="7" t="n"/>
      <c r="D35" s="7" t="n"/>
      <c r="E35" s="7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</row>
    <row r="36">
      <c r="A36" s="6" t="n"/>
      <c r="B36" s="7" t="n"/>
      <c r="C36" s="7" t="n"/>
      <c r="D36" s="7" t="n"/>
      <c r="E36" s="7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</row>
    <row r="37">
      <c r="A37" s="6" t="n"/>
      <c r="B37" s="7" t="n"/>
      <c r="C37" s="7" t="n"/>
      <c r="D37" s="7" t="n"/>
      <c r="E37" s="7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</row>
    <row r="38">
      <c r="A38" s="6" t="n"/>
      <c r="B38" s="7" t="n"/>
      <c r="C38" s="7" t="n"/>
      <c r="D38" s="7" t="n"/>
      <c r="E38" s="7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</row>
    <row r="39">
      <c r="A39" s="6" t="n"/>
      <c r="B39" s="7" t="n"/>
      <c r="C39" s="7" t="n"/>
      <c r="D39" s="7" t="n"/>
      <c r="E39" s="7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</row>
    <row r="40">
      <c r="A40" s="6" t="n"/>
      <c r="B40" s="7" t="n"/>
      <c r="C40" s="7" t="n"/>
      <c r="D40" s="7" t="n"/>
      <c r="E40" s="7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</row>
    <row r="41">
      <c r="A41" s="6" t="n"/>
      <c r="B41" s="7" t="n"/>
      <c r="C41" s="7" t="n"/>
      <c r="D41" s="7" t="n"/>
      <c r="E41" s="7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</row>
    <row r="42">
      <c r="A42" s="6" t="n"/>
      <c r="B42" s="7" t="n"/>
      <c r="C42" s="7" t="n"/>
      <c r="D42" s="7" t="n"/>
      <c r="E42" s="7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</row>
    <row r="43">
      <c r="A43" s="6" t="n"/>
      <c r="B43" s="7" t="n"/>
      <c r="C43" s="7" t="n"/>
      <c r="D43" s="7" t="n"/>
      <c r="E43" s="7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</row>
    <row r="44">
      <c r="A44" s="6" t="n"/>
      <c r="B44" s="7" t="n"/>
      <c r="C44" s="7" t="n"/>
      <c r="D44" s="7" t="n"/>
      <c r="E44" s="7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</row>
    <row r="45">
      <c r="A45" s="6" t="n"/>
      <c r="B45" s="7" t="n"/>
      <c r="C45" s="7" t="n"/>
      <c r="D45" s="7" t="n"/>
      <c r="E45" s="7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</row>
    <row r="46">
      <c r="A46" s="6" t="n"/>
      <c r="B46" s="7" t="n"/>
      <c r="C46" s="7" t="n"/>
      <c r="D46" s="7" t="n"/>
      <c r="E46" s="7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</row>
    <row r="47">
      <c r="A47" s="6" t="n"/>
      <c r="B47" s="7" t="n"/>
      <c r="C47" s="7" t="n"/>
      <c r="D47" s="7" t="n"/>
      <c r="E47" s="7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</row>
    <row r="48">
      <c r="A48" s="6" t="n"/>
      <c r="B48" s="7" t="n"/>
      <c r="C48" s="7" t="n"/>
      <c r="D48" s="7" t="n"/>
      <c r="E48" s="7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</row>
    <row r="49">
      <c r="A49" s="6" t="n"/>
      <c r="B49" s="7" t="n"/>
      <c r="C49" s="7" t="n"/>
      <c r="D49" s="7" t="n"/>
      <c r="E49" s="7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</row>
    <row r="50">
      <c r="A50" s="6" t="n"/>
      <c r="B50" s="7" t="n"/>
      <c r="C50" s="7" t="n"/>
      <c r="D50" s="7" t="n"/>
      <c r="E50" s="7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</row>
  </sheetData>
  <mergeCells count="3">
    <mergeCell ref="F3:T5"/>
    <mergeCell ref="M6:O6"/>
    <mergeCell ref="A3:E5"/>
  </mergeCells>
  <conditionalFormatting sqref="E2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F2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G2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H2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E7:E50">
    <cfRule type="cellIs" priority="9" operator="equal" dxfId="0">
      <formula>"L"</formula>
    </cfRule>
    <cfRule type="cellIs" priority="10" operator="equal" dxfId="1">
      <formula>"W"</formula>
    </cfRule>
  </conditionalFormatting>
  <dataValidations count="7">
    <dataValidation sqref="A7:A1853" showDropDown="0" showInputMessage="0" showErrorMessage="0" allowBlank="1" errorTitle="Valor no válido" error="Selecciona: PRE, LIVE o Combinado" type="list">
      <formula1>'Base datos'!$G$2:$G$4</formula1>
    </dataValidation>
    <dataValidation sqref="B7:B1853" showDropDown="0" showInputMessage="0" showErrorMessage="0" allowBlank="1" errorTitle="Tipster no válido" error="Selecciona un tipster de la lista" type="list">
      <formula1>Tipster_Picks_Dashboard!$A$3:$A$100</formula1>
    </dataValidation>
    <dataValidation sqref="E7:E1853" showDropDown="0" showInputMessage="0" showErrorMessage="0" allowBlank="1" errorTitle="Resultado no válido" error="Selecciona: W (Win), L (Loss), V (Void), HW (Half Win), HL (Half Loss)" type="list">
      <formula1>"W,L,V,HW,HL"</formula1>
    </dataValidation>
    <dataValidation sqref="P7:P1853" showDropDown="0" showInputMessage="0" showErrorMessage="0" allowBlank="1" errorTitle="Valor no válido" error="Selecciona: Si o No" type="list">
      <formula1>'Base datos'!$I$2:$I$4</formula1>
    </dataValidation>
    <dataValidation sqref="Q7:Q1853" showDropDown="0" showInputMessage="0" showErrorMessage="0" allowBlank="1" errorTitle="Deporte no válido" error="Selecciona un deporte de la lista" type="list">
      <formula1>'Base datos'!$E$2:$E$20</formula1>
    </dataValidation>
    <dataValidation sqref="R7:R1853" showDropDown="0" showInputMessage="0" showErrorMessage="0" allowBlank="1" errorTitle="Plataforma no válida" error="Selecciona una plataforma de la lista" type="list">
      <formula1>'Base datos'!$C$2:$C$20</formula1>
    </dataValidation>
    <dataValidation sqref="S7:S1853" showDropDown="0" showInputMessage="0" showErrorMessage="0" allowBlank="1" errorTitle="Bookmaker no válido" error="Selecciona un bookmaker de la lista" type="list">
      <formula1>'Base datos'!$A$2:$A$30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NECESARIO RELLENAR TIPSTER</t>
        </is>
      </c>
      <c r="N1" t="inlineStr">
        <is>
          <t>% Aciertos Segun deporte</t>
        </is>
      </c>
    </row>
    <row r="2">
      <c r="A2" t="inlineStr">
        <is>
          <t>TIPSTER</t>
        </is>
      </c>
      <c r="B2" t="inlineStr">
        <is>
          <t>Juega a</t>
        </is>
      </c>
      <c r="C2" t="inlineStr">
        <is>
          <t>Unidades</t>
        </is>
      </c>
      <c r="D2" t="inlineStr">
        <is>
          <t>Benficio UDS</t>
        </is>
      </c>
      <c r="E2" t="inlineStr">
        <is>
          <t>Beneficio</t>
        </is>
      </c>
      <c r="F2" t="inlineStr">
        <is>
          <t>Apostado</t>
        </is>
      </c>
      <c r="G2" t="inlineStr">
        <is>
          <t>YIELD</t>
        </is>
      </c>
      <c r="H2" t="inlineStr">
        <is>
          <t>Tips totales</t>
        </is>
      </c>
      <c r="I2" t="inlineStr">
        <is>
          <t>Tips W</t>
        </is>
      </c>
      <c r="J2" t="inlineStr">
        <is>
          <t>Tips L</t>
        </is>
      </c>
      <c r="K2" t="inlineStr">
        <is>
          <t>Tips V</t>
        </is>
      </c>
      <c r="L2" t="inlineStr">
        <is>
          <t>% Tips Aciertados</t>
        </is>
      </c>
      <c r="M2" t="inlineStr">
        <is>
          <t>% Aciertos Live</t>
        </is>
      </c>
      <c r="N2" t="inlineStr">
        <is>
          <t>% Aciertos PRE</t>
        </is>
      </c>
      <c r="O2" t="inlineStr">
        <is>
          <t>TENIS</t>
        </is>
      </c>
      <c r="P2" t="inlineStr">
        <is>
          <t>BALONCESTO</t>
        </is>
      </c>
      <c r="Q2" t="inlineStr">
        <is>
          <t>TENIS MESA</t>
        </is>
      </c>
      <c r="R2" t="inlineStr">
        <is>
          <t>FUTBOL</t>
        </is>
      </c>
      <c r="S2" t="inlineStr">
        <is>
          <t>UFC</t>
        </is>
      </c>
      <c r="T2" t="inlineStr">
        <is>
          <t>NFL</t>
        </is>
      </c>
      <c r="U2" t="inlineStr">
        <is>
          <t>CABALLOS</t>
        </is>
      </c>
    </row>
    <row r="3">
      <c r="A3" t="inlineStr">
        <is>
          <t>Manolo</t>
        </is>
      </c>
      <c r="B3" t="n">
        <v>100</v>
      </c>
      <c r="C3" t="n">
        <v>0</v>
      </c>
      <c r="D3" t="n">
        <v>0</v>
      </c>
      <c r="E3" t="n">
        <v>0</v>
      </c>
      <c r="G3" t="n">
        <v>0</v>
      </c>
      <c r="H3" t="n">
        <v>0</v>
      </c>
      <c r="I3" t="n">
        <v>0</v>
      </c>
      <c r="J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NECESARIO RELLENAR TIPSTER</t>
        </is>
      </c>
      <c r="N1" t="inlineStr">
        <is>
          <t>% Aciertos Segun deporte</t>
        </is>
      </c>
    </row>
    <row r="2">
      <c r="A2" t="inlineStr">
        <is>
          <t>TIPSTER</t>
        </is>
      </c>
      <c r="B2" t="inlineStr">
        <is>
          <t>Juega a</t>
        </is>
      </c>
      <c r="C2" t="inlineStr">
        <is>
          <t>Unidades</t>
        </is>
      </c>
      <c r="D2" t="inlineStr">
        <is>
          <t>Benficio UDS</t>
        </is>
      </c>
      <c r="E2" t="inlineStr">
        <is>
          <t>Beneficio</t>
        </is>
      </c>
      <c r="F2" t="inlineStr">
        <is>
          <t>Apostado</t>
        </is>
      </c>
      <c r="G2" t="inlineStr">
        <is>
          <t>YIELD</t>
        </is>
      </c>
      <c r="H2" t="inlineStr">
        <is>
          <t>Tips totales</t>
        </is>
      </c>
      <c r="I2" t="inlineStr">
        <is>
          <t>Tips W</t>
        </is>
      </c>
      <c r="J2" t="inlineStr">
        <is>
          <t>Tips L</t>
        </is>
      </c>
      <c r="K2" t="inlineStr">
        <is>
          <t>Tips V</t>
        </is>
      </c>
      <c r="L2" t="inlineStr">
        <is>
          <t>% Tips Aciertados</t>
        </is>
      </c>
      <c r="M2" t="inlineStr">
        <is>
          <t>% Aciertos Live</t>
        </is>
      </c>
      <c r="N2" t="inlineStr">
        <is>
          <t>% Aciertos PRE</t>
        </is>
      </c>
      <c r="O2" t="inlineStr">
        <is>
          <t>TENIS</t>
        </is>
      </c>
      <c r="P2" t="inlineStr">
        <is>
          <t>BALONCESTO</t>
        </is>
      </c>
      <c r="Q2" t="inlineStr">
        <is>
          <t>TENIS MESA</t>
        </is>
      </c>
      <c r="R2" t="inlineStr">
        <is>
          <t>FUTBOL</t>
        </is>
      </c>
      <c r="S2" t="inlineStr">
        <is>
          <t>UFC</t>
        </is>
      </c>
      <c r="T2" t="inlineStr">
        <is>
          <t>NFL</t>
        </is>
      </c>
      <c r="U2" t="inlineStr">
        <is>
          <t>CABALLOS</t>
        </is>
      </c>
    </row>
    <row r="3">
      <c r="A3" t="inlineStr">
        <is>
          <t>Manolo</t>
        </is>
      </c>
      <c r="B3" t="n">
        <v>100</v>
      </c>
      <c r="C3" t="n">
        <v>0</v>
      </c>
      <c r="D3" t="n">
        <v>0</v>
      </c>
      <c r="E3" t="n">
        <v>0</v>
      </c>
      <c r="G3" t="n">
        <v>0</v>
      </c>
      <c r="H3" t="n">
        <v>0</v>
      </c>
      <c r="I3" t="n">
        <v>0</v>
      </c>
      <c r="J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 outlineLevelCol="0"/>
  <cols>
    <col width="20.83203125" customWidth="1" min="1" max="1"/>
    <col width="2.83203125" customWidth="1" min="2" max="2"/>
    <col width="30.83203125" customWidth="1" min="3" max="3"/>
    <col width="2.83203125" customWidth="1" min="4" max="4"/>
    <col width="20.83203125" customWidth="1" min="5" max="5"/>
    <col width="2.83203125" customWidth="1" min="6" max="6"/>
    <col width="12.83203125" customWidth="1" min="7" max="7"/>
    <col width="2.83203125" customWidth="1" min="8" max="8"/>
    <col width="12.83203125" customWidth="1" min="9" max="9"/>
  </cols>
  <sheetData>
    <row r="1">
      <c r="A1" t="inlineStr">
        <is>
          <t>BOOKIES</t>
        </is>
      </c>
      <c r="C1" t="inlineStr">
        <is>
          <t>Plataformas de Pick/Tipsters</t>
        </is>
      </c>
      <c r="E1" t="inlineStr">
        <is>
          <t>DEPORTE</t>
        </is>
      </c>
      <c r="G1" t="inlineStr">
        <is>
          <t>LIVE-PRE</t>
        </is>
      </c>
      <c r="I1" t="inlineStr">
        <is>
          <t>COMBINADA</t>
        </is>
      </c>
    </row>
    <row r="2">
      <c r="A2" t="inlineStr">
        <is>
          <t>888</t>
        </is>
      </c>
      <c r="C2" t="inlineStr">
        <is>
          <t>Blogabet</t>
        </is>
      </c>
      <c r="E2" t="inlineStr">
        <is>
          <t>Badminton</t>
        </is>
      </c>
      <c r="G2" t="inlineStr">
        <is>
          <t>PRE</t>
        </is>
      </c>
      <c r="I2" t="inlineStr">
        <is>
          <t>Si</t>
        </is>
      </c>
    </row>
    <row r="3">
      <c r="A3" t="inlineStr">
        <is>
          <t>1xBet</t>
        </is>
      </c>
      <c r="C3" t="inlineStr">
        <is>
          <t>Telegram</t>
        </is>
      </c>
      <c r="E3" t="inlineStr">
        <is>
          <t>Baloncesto</t>
        </is>
      </c>
      <c r="G3" t="inlineStr">
        <is>
          <t>LIVE</t>
        </is>
      </c>
      <c r="I3" t="inlineStr">
        <is>
          <t>No</t>
        </is>
      </c>
    </row>
    <row r="4">
      <c r="A4" t="inlineStr">
        <is>
          <t>Bet365</t>
        </is>
      </c>
      <c r="C4" t="inlineStr">
        <is>
          <t>TipsterLand</t>
        </is>
      </c>
      <c r="E4" t="inlineStr">
        <is>
          <t>Balonmano</t>
        </is>
      </c>
      <c r="I4" t="inlineStr">
        <is>
          <t>Sí</t>
        </is>
      </c>
    </row>
    <row r="5">
      <c r="A5" t="inlineStr">
        <is>
          <t>Betfail</t>
        </is>
      </c>
      <c r="E5" t="inlineStr">
        <is>
          <t>Beisbol</t>
        </is>
      </c>
    </row>
    <row r="6">
      <c r="A6" t="inlineStr">
        <is>
          <t>Betfair</t>
        </is>
      </c>
      <c r="E6" t="inlineStr">
        <is>
          <t>Boxeo</t>
        </is>
      </c>
    </row>
    <row r="7">
      <c r="A7" t="inlineStr">
        <is>
          <t>Betsson</t>
        </is>
      </c>
      <c r="E7" t="inlineStr">
        <is>
          <t>Ciclismo</t>
        </is>
      </c>
    </row>
    <row r="8">
      <c r="A8" t="inlineStr">
        <is>
          <t>Bwin</t>
        </is>
      </c>
      <c r="E8" t="inlineStr">
        <is>
          <t>Esports</t>
        </is>
      </c>
    </row>
    <row r="9">
      <c r="A9" t="inlineStr">
        <is>
          <t>Codere</t>
        </is>
      </c>
      <c r="E9" t="inlineStr">
        <is>
          <t>Fútbol</t>
        </is>
      </c>
    </row>
    <row r="10">
      <c r="A10" t="inlineStr">
        <is>
          <t>Luckia</t>
        </is>
      </c>
      <c r="E10" t="inlineStr">
        <is>
          <t>Fútbol Americano</t>
        </is>
      </c>
    </row>
    <row r="11">
      <c r="A11" t="inlineStr">
        <is>
          <t>Marathonbet</t>
        </is>
      </c>
      <c r="E11" t="inlineStr">
        <is>
          <t>Golf</t>
        </is>
      </c>
    </row>
    <row r="12">
      <c r="A12" t="inlineStr">
        <is>
          <t>Sportium</t>
        </is>
      </c>
      <c r="E12" t="inlineStr">
        <is>
          <t>Hockey</t>
        </is>
      </c>
    </row>
    <row r="13">
      <c r="A13" t="inlineStr">
        <is>
          <t>Winamax</t>
        </is>
      </c>
      <c r="E13" t="inlineStr">
        <is>
          <t>MMA</t>
        </is>
      </c>
    </row>
    <row r="14">
      <c r="A14" t="inlineStr">
        <is>
          <t>William Hill</t>
        </is>
      </c>
      <c r="E14" t="inlineStr">
        <is>
          <t>Tenis</t>
        </is>
      </c>
    </row>
    <row r="15">
      <c r="E15" t="inlineStr">
        <is>
          <t>Tenis Mesa</t>
        </is>
      </c>
    </row>
    <row r="16">
      <c r="E16" t="inlineStr">
        <is>
          <t>Voleibol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2025-11-19T18:24:07Z</dcterms:created>
  <dcterms:modified xmlns:dcterms="http://purl.org/dc/terms/" xmlns:xsi="http://www.w3.org/2001/XMLSchema-instance" xsi:type="dcterms:W3CDTF">2025-11-19T18:24:07Z</dcterms:modified>
</cp:coreProperties>
</file>